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\\172.18.1.13\Fileserver\Imagenes Diagnosticas\OFICIAL PROTECCIÓN RADIOLÓGICA\0. Daniel Salazar\11. Niveles de Referencia\Docs calculadora dosis\"/>
    </mc:Choice>
  </mc:AlternateContent>
  <bookViews>
    <workbookView xWindow="0" yWindow="0" windowWidth="28800" windowHeight="12180" activeTab="3"/>
  </bookViews>
  <sheets>
    <sheet name="Gráfico1" sheetId="4" r:id="rId1"/>
    <sheet name="Calculadora" sheetId="1" r:id="rId2"/>
    <sheet name="Parametros" sheetId="2" state="hidden" r:id="rId3"/>
    <sheet name="Datos" sheetId="3" r:id="rId4"/>
  </sheets>
  <definedNames>
    <definedName name="_xlnm._FilterDatabase" localSheetId="2" hidden="1">Parametros!$B$2:$G$2</definedName>
    <definedName name="_xleta.CLEAN" hidden="1" xlm="1">#NAME?</definedName>
    <definedName name="_xleta.TYPE" hidden="1" xlm="1">#NAME?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4" i="1" l="1"/>
  <c r="G14" i="1"/>
  <c r="F14" i="1"/>
  <c r="E14" i="1"/>
  <c r="D14" i="1"/>
  <c r="C14" i="1"/>
  <c r="J7" i="1" l="1"/>
</calcChain>
</file>

<file path=xl/sharedStrings.xml><?xml version="1.0" encoding="utf-8"?>
<sst xmlns="http://schemas.openxmlformats.org/spreadsheetml/2006/main" count="468" uniqueCount="106">
  <si>
    <t>AP-PA</t>
  </si>
  <si>
    <t>LAT</t>
  </si>
  <si>
    <t>Oblicuo</t>
  </si>
  <si>
    <t>Bucky</t>
  </si>
  <si>
    <t>Camilla</t>
  </si>
  <si>
    <t>Pierna</t>
  </si>
  <si>
    <t>Cabeza</t>
  </si>
  <si>
    <t>Cervical</t>
  </si>
  <si>
    <t>Parametros</t>
  </si>
  <si>
    <t>OBLICUO</t>
  </si>
  <si>
    <t>Abdomen</t>
  </si>
  <si>
    <t>mAs</t>
  </si>
  <si>
    <t>Brazo</t>
  </si>
  <si>
    <t>Placas Aprobadas</t>
  </si>
  <si>
    <t>Mano</t>
  </si>
  <si>
    <t>Placas Rechazadas</t>
  </si>
  <si>
    <t>Dosis [mGy]</t>
  </si>
  <si>
    <t>Pie</t>
  </si>
  <si>
    <t>Estudio</t>
  </si>
  <si>
    <t>Distancia foco-detector</t>
  </si>
  <si>
    <t>kV</t>
  </si>
  <si>
    <t>Img Aprobadas</t>
  </si>
  <si>
    <t>Img Rechazadas</t>
  </si>
  <si>
    <t>Hombro</t>
  </si>
  <si>
    <t>ATM</t>
  </si>
  <si>
    <t>Mastoides</t>
  </si>
  <si>
    <t>Codo</t>
  </si>
  <si>
    <t>Antebrazo</t>
  </si>
  <si>
    <t>Muñeca</t>
  </si>
  <si>
    <t>Femur</t>
  </si>
  <si>
    <t>Rodilla</t>
  </si>
  <si>
    <t>Col Lumbar</t>
  </si>
  <si>
    <t>Sacro</t>
  </si>
  <si>
    <t>Coxis</t>
  </si>
  <si>
    <t>Reja costal</t>
  </si>
  <si>
    <t>Abdomen simple</t>
  </si>
  <si>
    <t>Proyección</t>
  </si>
  <si>
    <t>Distancia</t>
  </si>
  <si>
    <t>Senos paranasales</t>
  </si>
  <si>
    <t>Tobillo</t>
  </si>
  <si>
    <t>Fecha</t>
  </si>
  <si>
    <t>Peso[kg]</t>
  </si>
  <si>
    <t>Mandíbula</t>
  </si>
  <si>
    <t>Pelvis Cadera</t>
  </si>
  <si>
    <t>Órbitas</t>
  </si>
  <si>
    <t>Sacroilíacas</t>
  </si>
  <si>
    <t>Cavum Faringeo</t>
  </si>
  <si>
    <t>Cráneo Simple</t>
  </si>
  <si>
    <t>Huesos Cara</t>
  </si>
  <si>
    <t>Huesos Nasales</t>
  </si>
  <si>
    <t>Húmero</t>
  </si>
  <si>
    <t>Tórax</t>
  </si>
  <si>
    <t>Peso del paciente [kg]</t>
  </si>
  <si>
    <t>Col Torácica</t>
  </si>
  <si>
    <t>Columna Panorámica</t>
  </si>
  <si>
    <t>Esternón</t>
  </si>
  <si>
    <t>Dosis Total [mGy]</t>
  </si>
  <si>
    <t>Proyección (Espesor del paciente)</t>
  </si>
  <si>
    <t>Curva de rendimiento</t>
  </si>
  <si>
    <t>a</t>
  </si>
  <si>
    <t>b</t>
  </si>
  <si>
    <t>1,77</t>
  </si>
  <si>
    <t>0,36</t>
  </si>
  <si>
    <t>0,53</t>
  </si>
  <si>
    <t>0,54</t>
  </si>
  <si>
    <t>0,30</t>
  </si>
  <si>
    <t>1,19</t>
  </si>
  <si>
    <t>1,29</t>
  </si>
  <si>
    <t>0,90</t>
  </si>
  <si>
    <t>0,51</t>
  </si>
  <si>
    <t>2,13</t>
  </si>
  <si>
    <t>5,41</t>
  </si>
  <si>
    <t>0,80</t>
  </si>
  <si>
    <t>0,19</t>
  </si>
  <si>
    <t>0,14</t>
  </si>
  <si>
    <t>0,32</t>
  </si>
  <si>
    <t>2,81</t>
  </si>
  <si>
    <t>0,71</t>
  </si>
  <si>
    <t>10,34</t>
  </si>
  <si>
    <t>0,10</t>
  </si>
  <si>
    <t>0,11</t>
  </si>
  <si>
    <t>0,12</t>
  </si>
  <si>
    <t>0,18</t>
  </si>
  <si>
    <t>0,73</t>
  </si>
  <si>
    <t>0,84</t>
  </si>
  <si>
    <t>0,67</t>
  </si>
  <si>
    <t>2,77</t>
  </si>
  <si>
    <t>1,87</t>
  </si>
  <si>
    <t>4,05</t>
  </si>
  <si>
    <t>1,53</t>
  </si>
  <si>
    <t>0,44</t>
  </si>
  <si>
    <t>0,31</t>
  </si>
  <si>
    <t>0,43</t>
  </si>
  <si>
    <t>4,25</t>
  </si>
  <si>
    <t>0,26</t>
  </si>
  <si>
    <t>1,24</t>
  </si>
  <si>
    <t>5,18</t>
  </si>
  <si>
    <t>0,07</t>
  </si>
  <si>
    <t>0,69</t>
  </si>
  <si>
    <t>0,68</t>
  </si>
  <si>
    <t>8,72</t>
  </si>
  <si>
    <t>0,50</t>
  </si>
  <si>
    <t>3,55</t>
  </si>
  <si>
    <t>3,07</t>
  </si>
  <si>
    <t>1,15</t>
  </si>
  <si>
    <t>0,64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</si>
</sst>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3" formatCode="_-* #,##0.00_-;\-* #,##0.00_-;_-* &quot;-&quot;??_-;_-@_-"/>
    <numFmt numFmtId="164" formatCode="0;\-0;;@"/>
    <numFmt numFmtId="165" formatCode="0.0;\-0.0;;@"/>
  </numFmts>
  <fonts count="13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10"/>
      <color theme="1"/>
      <name val="Aptos Narrow"/>
      <family val="2"/>
      <scheme val="minor"/>
    </font>
    <font>
      <i/>
      <sz val="14"/>
      <color theme="1"/>
      <name val="Aptos Narrow"/>
      <family val="2"/>
      <scheme val="minor"/>
    </font>
    <font>
      <b/>
      <sz val="18"/>
      <color theme="3" tint="0.499984740745262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sz val="11"/>
      <color rgb="FF000080"/>
      <name val="Aptos Narrow"/>
    </font>
    <font>
      <sz val="11"/>
      <color rgb="FF008000"/>
      <name val="Aptos Narrow"/>
    </font>
    <font>
      <b/>
      <sz val="11"/>
      <color theme="1"/>
      <name val="Aptos Narrow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ADD8E6"/>
        <bgColor indexed="64"/>
      </patternFill>
    </fill>
    <fill>
      <patternFill patternType="solid">
        <fgColor rgb="FFEBF5EB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/>
      <right/>
      <top style="thick">
        <color theme="0" tint="-0.14999847407452621"/>
      </top>
      <bottom/>
      <diagonal/>
    </border>
    <border>
      <left style="thick">
        <color theme="2" tint="-0.249977111117893"/>
      </left>
      <right/>
      <top/>
      <bottom/>
      <diagonal/>
    </border>
    <border>
      <left style="thick">
        <color theme="2" tint="-0.249977111117893"/>
      </left>
      <right/>
      <top style="thick">
        <color theme="2" tint="-0.249977111117893"/>
      </top>
      <bottom/>
      <diagonal/>
    </border>
    <border>
      <left/>
      <right/>
      <top style="thick">
        <color theme="2" tint="-0.249977111117893"/>
      </top>
      <bottom/>
      <diagonal/>
    </border>
    <border>
      <left/>
      <right style="thick">
        <color theme="2" tint="-0.249977111117893"/>
      </right>
      <top style="thick">
        <color theme="2" tint="-0.249977111117893"/>
      </top>
      <bottom/>
      <diagonal/>
    </border>
    <border>
      <left/>
      <right style="thick">
        <color theme="2" tint="-0.249977111117893"/>
      </right>
      <top/>
      <bottom/>
      <diagonal/>
    </border>
    <border>
      <left style="thin">
        <color indexed="64"/>
      </left>
      <right style="thick">
        <color theme="2" tint="-9.9978637043366805E-2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theme="2" tint="-9.9978637043366805E-2"/>
      </right>
      <top style="thin">
        <color indexed="64"/>
      </top>
      <bottom style="thick">
        <color theme="0" tint="-0.14999847407452621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ck">
        <color theme="2" tint="-9.9978637043366805E-2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ck">
        <color theme="2" tint="-9.9978637043366805E-2"/>
      </bottom>
      <diagonal/>
    </border>
    <border>
      <left/>
      <right style="thick">
        <color theme="2" tint="-9.9978637043366805E-2"/>
      </right>
      <top/>
      <bottom/>
      <diagonal/>
    </border>
    <border>
      <left/>
      <right style="thin">
        <color indexed="64"/>
      </right>
      <top style="thin">
        <color indexed="64"/>
      </top>
      <bottom style="thick">
        <color theme="0" tint="-0.14999847407452621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79">
    <xf numFmtId="0" fontId="0" fillId="0" borderId="0" xfId="0"/>
    <xf numFmtId="0" fontId="0" fillId="0" borderId="1" xfId="0" applyBorder="1"/>
    <xf numFmtId="0" fontId="3" fillId="2" borderId="3" xfId="0" applyFont="1" applyFill="1" applyBorder="1" applyAlignment="1">
      <alignment horizontal="center"/>
    </xf>
    <xf numFmtId="0" fontId="3" fillId="3" borderId="1" xfId="0" applyFont="1" applyFill="1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4" fillId="5" borderId="0" xfId="0" applyFont="1" applyFill="1"/>
    <xf numFmtId="0" fontId="4" fillId="0" borderId="0" xfId="0" applyFont="1"/>
    <xf numFmtId="164" fontId="2" fillId="0" borderId="1" xfId="1" applyNumberFormat="1" applyFont="1" applyBorder="1" applyProtection="1">
      <protection locked="0"/>
    </xf>
    <xf numFmtId="165" fontId="2" fillId="0" borderId="1" xfId="1" applyNumberFormat="1" applyFont="1" applyBorder="1" applyProtection="1">
      <protection locked="0"/>
    </xf>
    <xf numFmtId="0" fontId="6" fillId="5" borderId="0" xfId="0" applyFont="1" applyFill="1"/>
    <xf numFmtId="0" fontId="3" fillId="3" borderId="8" xfId="0" applyFont="1" applyFill="1" applyBorder="1" applyAlignment="1">
      <alignment horizontal="center"/>
    </xf>
    <xf numFmtId="2" fontId="2" fillId="0" borderId="9" xfId="0" applyNumberFormat="1" applyFont="1" applyBorder="1" applyProtection="1">
      <protection hidden="1"/>
    </xf>
    <xf numFmtId="2" fontId="2" fillId="0" borderId="10" xfId="0" applyNumberFormat="1" applyFont="1" applyBorder="1" applyProtection="1">
      <protection hidden="1"/>
    </xf>
    <xf numFmtId="2" fontId="2" fillId="0" borderId="2" xfId="0" applyNumberFormat="1" applyFont="1" applyBorder="1" applyProtection="1">
      <protection hidden="1"/>
    </xf>
    <xf numFmtId="0" fontId="3" fillId="4" borderId="5" xfId="0" applyFont="1" applyFill="1" applyBorder="1" applyAlignment="1">
      <alignment horizontal="center"/>
    </xf>
    <xf numFmtId="0" fontId="4" fillId="5" borderId="11" xfId="0" applyFont="1" applyFill="1" applyBorder="1"/>
    <xf numFmtId="164" fontId="2" fillId="0" borderId="5" xfId="1" applyNumberFormat="1" applyFont="1" applyBorder="1" applyProtection="1">
      <protection locked="0"/>
    </xf>
    <xf numFmtId="164" fontId="2" fillId="0" borderId="6" xfId="1" applyNumberFormat="1" applyFont="1" applyBorder="1" applyProtection="1">
      <protection locked="0"/>
    </xf>
    <xf numFmtId="0" fontId="4" fillId="5" borderId="12" xfId="0" applyFont="1" applyFill="1" applyBorder="1"/>
    <xf numFmtId="0" fontId="3" fillId="3" borderId="17" xfId="0" applyFont="1" applyFill="1" applyBorder="1" applyAlignment="1">
      <alignment horizontal="center"/>
    </xf>
    <xf numFmtId="164" fontId="2" fillId="0" borderId="17" xfId="1" applyNumberFormat="1" applyFont="1" applyBorder="1" applyProtection="1">
      <protection locked="0"/>
    </xf>
    <xf numFmtId="165" fontId="2" fillId="0" borderId="17" xfId="1" applyNumberFormat="1" applyFont="1" applyBorder="1" applyProtection="1">
      <protection locked="0"/>
    </xf>
    <xf numFmtId="2" fontId="2" fillId="0" borderId="18" xfId="0" applyNumberFormat="1" applyFont="1" applyBorder="1" applyProtection="1">
      <protection hidden="1"/>
    </xf>
    <xf numFmtId="165" fontId="2" fillId="0" borderId="5" xfId="1" applyNumberFormat="1" applyFont="1" applyBorder="1" applyProtection="1">
      <protection locked="0"/>
    </xf>
    <xf numFmtId="165" fontId="2" fillId="0" borderId="6" xfId="1" applyNumberFormat="1" applyFont="1" applyBorder="1" applyProtection="1">
      <protection locked="0"/>
    </xf>
    <xf numFmtId="0" fontId="8" fillId="7" borderId="1" xfId="0" applyFont="1" applyFill="1" applyBorder="1" applyAlignment="1">
      <alignment horizontal="center" vertical="center"/>
    </xf>
    <xf numFmtId="0" fontId="0" fillId="0" borderId="5" xfId="0" applyBorder="1"/>
    <xf numFmtId="0" fontId="0" fillId="0" borderId="19" xfId="0" applyBorder="1"/>
    <xf numFmtId="0" fontId="8" fillId="0" borderId="19" xfId="0" applyFont="1" applyBorder="1"/>
    <xf numFmtId="0" fontId="8" fillId="0" borderId="20" xfId="0" applyFont="1" applyBorder="1"/>
    <xf numFmtId="0" fontId="8" fillId="0" borderId="21" xfId="0" applyFont="1" applyBorder="1"/>
    <xf numFmtId="0" fontId="5" fillId="5" borderId="14" xfId="0" applyFont="1" applyFill="1" applyBorder="1" applyAlignment="1" applyProtection="1">
      <alignment horizontal="left" vertical="top" wrapText="1" shrinkToFit="1"/>
      <protection hidden="1"/>
    </xf>
    <xf numFmtId="0" fontId="0" fillId="0" borderId="3" xfId="0" applyBorder="1"/>
    <xf numFmtId="0" fontId="3" fillId="5" borderId="0" xfId="0" applyFont="1" applyFill="1" applyAlignment="1">
      <alignment horizontal="center" vertical="center"/>
    </xf>
    <xf numFmtId="0" fontId="2" fillId="5" borderId="0" xfId="0" applyFont="1" applyFill="1"/>
    <xf numFmtId="0" fontId="4" fillId="5" borderId="26" xfId="0" applyFont="1" applyFill="1" applyBorder="1"/>
    <xf numFmtId="0" fontId="3" fillId="4" borderId="28" xfId="0" applyFont="1" applyFill="1" applyBorder="1" applyAlignment="1">
      <alignment horizontal="center"/>
    </xf>
    <xf numFmtId="0" fontId="4" fillId="5" borderId="27" xfId="0" applyFont="1" applyFill="1" applyBorder="1"/>
    <xf numFmtId="0" fontId="0" fillId="0" borderId="1" xfId="0" applyBorder="1" applyAlignment="1">
      <alignment vertical="center"/>
    </xf>
    <xf numFmtId="0" fontId="8" fillId="7" borderId="1" xfId="0" applyFont="1" applyFill="1" applyBorder="1" applyAlignment="1">
      <alignment horizontal="center" vertical="center" wrapText="1"/>
    </xf>
    <xf numFmtId="0" fontId="0" fillId="5" borderId="0" xfId="0" applyFill="1"/>
    <xf numFmtId="0" fontId="8" fillId="0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2" fontId="8" fillId="7" borderId="1" xfId="0" applyNumberFormat="1" applyFont="1" applyFill="1" applyBorder="1" applyAlignment="1">
      <alignment horizontal="center" vertical="center"/>
    </xf>
    <xf numFmtId="2" fontId="0" fillId="0" borderId="1" xfId="0" applyNumberFormat="1" applyBorder="1"/>
    <xf numFmtId="14" fontId="0" fillId="9" borderId="1" xfId="0" applyNumberFormat="1" applyFill="1" applyBorder="1"/>
    <xf numFmtId="0" fontId="0" fillId="9" borderId="1" xfId="0" applyFill="1" applyBorder="1"/>
    <xf numFmtId="0" fontId="0" fillId="9" borderId="1" xfId="0" applyFill="1" applyBorder="1" applyAlignment="1">
      <alignment vertical="center"/>
    </xf>
    <xf numFmtId="0" fontId="0" fillId="9" borderId="3" xfId="0" applyFill="1" applyBorder="1"/>
    <xf numFmtId="2" fontId="0" fillId="9" borderId="1" xfId="0" applyNumberFormat="1" applyFill="1" applyBorder="1"/>
    <xf numFmtId="14" fontId="0" fillId="10" borderId="1" xfId="0" applyNumberFormat="1" applyFill="1" applyBorder="1"/>
    <xf numFmtId="0" fontId="0" fillId="10" borderId="1" xfId="0" applyFill="1" applyBorder="1"/>
    <xf numFmtId="0" fontId="0" fillId="10" borderId="1" xfId="0" applyFill="1" applyBorder="1" applyAlignment="1">
      <alignment vertical="center"/>
    </xf>
    <xf numFmtId="0" fontId="0" fillId="10" borderId="3" xfId="0" applyFill="1" applyBorder="1"/>
    <xf numFmtId="2" fontId="0" fillId="10" borderId="1" xfId="0" applyNumberFormat="1" applyFill="1" applyBorder="1"/>
    <xf numFmtId="0" fontId="5" fillId="6" borderId="13" xfId="0" applyFont="1" applyFill="1" applyBorder="1" applyAlignment="1" applyProtection="1">
      <alignment horizontal="left" vertical="top" wrapText="1" shrinkToFit="1"/>
      <protection hidden="1"/>
    </xf>
    <xf numFmtId="0" fontId="5" fillId="6" borderId="14" xfId="0" applyFont="1" applyFill="1" applyBorder="1" applyAlignment="1" applyProtection="1">
      <alignment horizontal="left" vertical="top" wrapText="1" shrinkToFit="1"/>
      <protection hidden="1"/>
    </xf>
    <xf numFmtId="0" fontId="5" fillId="6" borderId="15" xfId="0" applyFont="1" applyFill="1" applyBorder="1" applyAlignment="1" applyProtection="1">
      <alignment horizontal="left" vertical="top" wrapText="1" shrinkToFit="1"/>
      <protection hidden="1"/>
    </xf>
    <xf numFmtId="0" fontId="5" fillId="6" borderId="12" xfId="0" applyFont="1" applyFill="1" applyBorder="1" applyAlignment="1" applyProtection="1">
      <alignment horizontal="left" vertical="top" wrapText="1" shrinkToFit="1"/>
      <protection hidden="1"/>
    </xf>
    <xf numFmtId="0" fontId="5" fillId="6" borderId="0" xfId="0" applyFont="1" applyFill="1" applyAlignment="1" applyProtection="1">
      <alignment horizontal="left" vertical="top" wrapText="1" shrinkToFit="1"/>
      <protection hidden="1"/>
    </xf>
    <xf numFmtId="0" fontId="5" fillId="6" borderId="16" xfId="0" applyFont="1" applyFill="1" applyBorder="1" applyAlignment="1" applyProtection="1">
      <alignment horizontal="left" vertical="top" wrapText="1" shrinkToFit="1"/>
      <protection hidden="1"/>
    </xf>
    <xf numFmtId="0" fontId="7" fillId="4" borderId="25" xfId="0" applyFont="1" applyFill="1" applyBorder="1" applyAlignment="1">
      <alignment horizontal="center" vertical="center"/>
    </xf>
    <xf numFmtId="0" fontId="7" fillId="4" borderId="20" xfId="0" applyFont="1" applyFill="1" applyBorder="1" applyAlignment="1">
      <alignment horizontal="center" vertical="center"/>
    </xf>
    <xf numFmtId="0" fontId="9" fillId="8" borderId="22" xfId="0" applyFont="1" applyFill="1" applyBorder="1" applyAlignment="1">
      <alignment horizontal="center"/>
    </xf>
    <xf numFmtId="0" fontId="9" fillId="8" borderId="23" xfId="0" applyFont="1" applyFill="1" applyBorder="1" applyAlignment="1">
      <alignment horizontal="center"/>
    </xf>
    <xf numFmtId="0" fontId="9" fillId="8" borderId="20" xfId="0" applyFont="1" applyFill="1" applyBorder="1" applyAlignment="1">
      <alignment horizontal="center"/>
    </xf>
    <xf numFmtId="0" fontId="4" fillId="8" borderId="22" xfId="0" applyFont="1" applyFill="1" applyBorder="1" applyAlignment="1" applyProtection="1">
      <alignment horizontal="center"/>
      <protection locked="0"/>
    </xf>
    <xf numFmtId="0" fontId="4" fillId="8" borderId="24" xfId="0" applyFont="1" applyFill="1" applyBorder="1" applyAlignment="1" applyProtection="1">
      <alignment horizontal="center"/>
      <protection locked="0"/>
    </xf>
    <xf numFmtId="0" fontId="3" fillId="0" borderId="22" xfId="0" applyFont="1" applyBorder="1" applyAlignment="1" applyProtection="1">
      <alignment horizontal="center"/>
      <protection locked="0" hidden="1"/>
    </xf>
    <xf numFmtId="0" fontId="3" fillId="0" borderId="23" xfId="0" applyFont="1" applyBorder="1" applyAlignment="1" applyProtection="1">
      <alignment horizontal="center"/>
      <protection locked="0" hidden="1"/>
    </xf>
    <xf numFmtId="0" fontId="3" fillId="0" borderId="24" xfId="0" applyFont="1" applyBorder="1" applyAlignment="1" applyProtection="1">
      <alignment horizontal="center"/>
      <protection locked="0" hidden="1"/>
    </xf>
    <xf numFmtId="0" fontId="3" fillId="2" borderId="3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3" fillId="2" borderId="7" xfId="0" applyFont="1" applyFill="1" applyBorder="1" applyAlignment="1">
      <alignment horizontal="center"/>
    </xf>
    <xf numFmtId="0" fontId="3" fillId="3" borderId="8" xfId="0" applyFont="1" applyFill="1" applyBorder="1" applyAlignment="1">
      <alignment horizontal="center"/>
    </xf>
    <xf numFmtId="0" fontId="3" fillId="3" borderId="1" xfId="0" applyFont="1" applyFill="1" applyBorder="1" applyAlignment="1">
      <alignment horizontal="center"/>
    </xf>
    <xf numFmtId="0" fontId="3" fillId="3" borderId="17" xfId="0" applyFont="1" applyFill="1" applyBorder="1" applyAlignment="1">
      <alignment horizontal="center"/>
    </xf>
    <xf numFmtId="0" fontId="8" fillId="0" borderId="19" xfId="0" applyFont="1" applyBorder="1" applyAlignment="1">
      <alignment horizontal="center"/>
    </xf>
    <xf numFmtId="0" fontId="12" fillId="0" borderId="1" xfId="0" applyFont="1" applyBorder="1" applyAlignment="1">
      <alignment horizontal="center" vertical="center"/>
    </xf>
  </cellXfs>
  <cellStyles count="2">
    <cellStyle name="Millares" xfId="1" builtinId="3"/>
    <cellStyle name="Normal" xfId="0" builtinId="0"/>
  </cellStyles>
  <dxfs count="14">
    <dxf>
      <fill>
        <patternFill>
          <bgColor theme="5" tint="0.79998168889431442"/>
        </patternFill>
      </fill>
    </dxf>
    <dxf>
      <font>
        <color auto="1"/>
      </font>
      <fill>
        <patternFill>
          <bgColor theme="3" tint="0.749961851863155"/>
        </patternFill>
      </fill>
    </dxf>
    <dxf>
      <fill>
        <patternFill>
          <bgColor theme="7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rgb="FFFFFF99"/>
        </patternFill>
      </fill>
    </dxf>
    <dxf>
      <fill>
        <patternFill>
          <bgColor rgb="FFFF6699"/>
        </patternFill>
      </fill>
    </dxf>
    <dxf>
      <fill>
        <patternFill>
          <bgColor rgb="FFFFCC99"/>
        </patternFill>
      </fill>
    </dxf>
    <dxf>
      <font>
        <color theme="2" tint="-9.9948118533890809E-2"/>
      </font>
      <fill>
        <patternFill>
          <bgColor theme="2" tint="-9.9948118533890809E-2"/>
        </patternFill>
      </fill>
    </dxf>
    <dxf>
      <font>
        <color theme="9"/>
      </font>
    </dxf>
    <dxf>
      <font>
        <b/>
        <i val="0"/>
        <color theme="3" tint="0.499984740745262"/>
      </font>
    </dxf>
    <dxf>
      <font>
        <color rgb="FFC00000"/>
      </font>
    </dxf>
    <dxf>
      <fill>
        <patternFill>
          <bgColor theme="2" tint="-9.9948118533890809E-2"/>
        </patternFill>
      </fill>
    </dxf>
    <dxf>
      <font>
        <strike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3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Calculadora!$C$6:$C$8</c:f>
              <c:strCache>
                <c:ptCount val="3"/>
                <c:pt idx="0">
                  <c:v>Peso del paciente [kg]</c:v>
                </c:pt>
                <c:pt idx="1">
                  <c:v>Tórax</c:v>
                </c:pt>
                <c:pt idx="2">
                  <c:v>Bucky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Calculadora!$B$9:$B$14</c:f>
              <c:strCache>
                <c:ptCount val="6"/>
                <c:pt idx="0">
                  <c:v>Parametros</c:v>
                </c:pt>
                <c:pt idx="1">
                  <c:v>kV</c:v>
                </c:pt>
                <c:pt idx="2">
                  <c:v>mAs</c:v>
                </c:pt>
                <c:pt idx="3">
                  <c:v>Placas Aprobadas</c:v>
                </c:pt>
                <c:pt idx="4">
                  <c:v>Placas Rechazadas</c:v>
                </c:pt>
                <c:pt idx="5">
                  <c:v>Dosis [mGy]</c:v>
                </c:pt>
              </c:strCache>
            </c:strRef>
          </c:cat>
          <c:val>
            <c:numRef>
              <c:f>Calculadora!$C$9:$C$14</c:f>
              <c:numCache>
                <c:formatCode>0;\-0;;@</c:formatCode>
                <c:ptCount val="6"/>
                <c:pt idx="0" formatCode="General">
                  <c:v>0</c:v>
                </c:pt>
                <c:pt idx="1">
                  <c:v>0</c:v>
                </c:pt>
                <c:pt idx="2" formatCode="0.0;\-0.0;;@">
                  <c:v>0</c:v>
                </c:pt>
                <c:pt idx="3">
                  <c:v>0</c:v>
                </c:pt>
                <c:pt idx="4">
                  <c:v>0</c:v>
                </c:pt>
                <c:pt idx="5" formatCode="0.0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A7E-466D-989B-282209D36A4E}"/>
            </c:ext>
          </c:extLst>
        </c:ser>
        <c:ser>
          <c:idx val="1"/>
          <c:order val="1"/>
          <c:tx>
            <c:strRef>
              <c:f>Calculadora!$D$6:$D$8</c:f>
              <c:strCache>
                <c:ptCount val="3"/>
                <c:pt idx="0">
                  <c:v>Peso del paciente [kg]</c:v>
                </c:pt>
                <c:pt idx="1">
                  <c:v>Tórax</c:v>
                </c:pt>
                <c:pt idx="2">
                  <c:v>Bucky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Calculadora!$B$9:$B$14</c:f>
              <c:strCache>
                <c:ptCount val="6"/>
                <c:pt idx="0">
                  <c:v>Parametros</c:v>
                </c:pt>
                <c:pt idx="1">
                  <c:v>kV</c:v>
                </c:pt>
                <c:pt idx="2">
                  <c:v>mAs</c:v>
                </c:pt>
                <c:pt idx="3">
                  <c:v>Placas Aprobadas</c:v>
                </c:pt>
                <c:pt idx="4">
                  <c:v>Placas Rechazadas</c:v>
                </c:pt>
                <c:pt idx="5">
                  <c:v>Dosis [mGy]</c:v>
                </c:pt>
              </c:strCache>
            </c:strRef>
          </c:cat>
          <c:val>
            <c:numRef>
              <c:f>Calculadora!$D$9:$D$14</c:f>
              <c:numCache>
                <c:formatCode>0;\-0;;@</c:formatCode>
                <c:ptCount val="6"/>
                <c:pt idx="0" formatCode="General">
                  <c:v>0</c:v>
                </c:pt>
                <c:pt idx="1">
                  <c:v>0</c:v>
                </c:pt>
                <c:pt idx="2" formatCode="0.0;\-0.0;;@">
                  <c:v>0</c:v>
                </c:pt>
                <c:pt idx="3">
                  <c:v>0</c:v>
                </c:pt>
                <c:pt idx="4">
                  <c:v>0</c:v>
                </c:pt>
                <c:pt idx="5" formatCode="0.0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A7E-466D-989B-282209D36A4E}"/>
            </c:ext>
          </c:extLst>
        </c:ser>
        <c:ser>
          <c:idx val="2"/>
          <c:order val="2"/>
          <c:tx>
            <c:strRef>
              <c:f>Calculadora!$E$6:$E$8</c:f>
              <c:strCache>
                <c:ptCount val="3"/>
                <c:pt idx="0">
                  <c:v>Peso del paciente [kg]</c:v>
                </c:pt>
                <c:pt idx="1">
                  <c:v>Tórax</c:v>
                </c:pt>
                <c:pt idx="2">
                  <c:v>Bucky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Calculadora!$B$9:$B$14</c:f>
              <c:strCache>
                <c:ptCount val="6"/>
                <c:pt idx="0">
                  <c:v>Parametros</c:v>
                </c:pt>
                <c:pt idx="1">
                  <c:v>kV</c:v>
                </c:pt>
                <c:pt idx="2">
                  <c:v>mAs</c:v>
                </c:pt>
                <c:pt idx="3">
                  <c:v>Placas Aprobadas</c:v>
                </c:pt>
                <c:pt idx="4">
                  <c:v>Placas Rechazadas</c:v>
                </c:pt>
                <c:pt idx="5">
                  <c:v>Dosis [mGy]</c:v>
                </c:pt>
              </c:strCache>
            </c:strRef>
          </c:cat>
          <c:val>
            <c:numRef>
              <c:f>Calculadora!$E$9:$E$14</c:f>
              <c:numCache>
                <c:formatCode>0;\-0;;@</c:formatCode>
                <c:ptCount val="6"/>
                <c:pt idx="0" formatCode="General">
                  <c:v>0</c:v>
                </c:pt>
                <c:pt idx="1">
                  <c:v>0</c:v>
                </c:pt>
                <c:pt idx="2" formatCode="0.0;\-0.0;;@">
                  <c:v>0</c:v>
                </c:pt>
                <c:pt idx="3">
                  <c:v>0</c:v>
                </c:pt>
                <c:pt idx="4">
                  <c:v>0</c:v>
                </c:pt>
                <c:pt idx="5" formatCode="0.0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7E-466D-989B-282209D36A4E}"/>
            </c:ext>
          </c:extLst>
        </c:ser>
        <c:ser>
          <c:idx val="3"/>
          <c:order val="3"/>
          <c:tx>
            <c:strRef>
              <c:f>Calculadora!$F$6:$F$8</c:f>
              <c:strCache>
                <c:ptCount val="3"/>
                <c:pt idx="0">
                  <c:v>Peso del paciente [kg]</c:v>
                </c:pt>
                <c:pt idx="1">
                  <c:v>Tórax</c:v>
                </c:pt>
                <c:pt idx="2">
                  <c:v>Camilla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Calculadora!$B$9:$B$14</c:f>
              <c:strCache>
                <c:ptCount val="6"/>
                <c:pt idx="0">
                  <c:v>Parametros</c:v>
                </c:pt>
                <c:pt idx="1">
                  <c:v>kV</c:v>
                </c:pt>
                <c:pt idx="2">
                  <c:v>mAs</c:v>
                </c:pt>
                <c:pt idx="3">
                  <c:v>Placas Aprobadas</c:v>
                </c:pt>
                <c:pt idx="4">
                  <c:v>Placas Rechazadas</c:v>
                </c:pt>
                <c:pt idx="5">
                  <c:v>Dosis [mGy]</c:v>
                </c:pt>
              </c:strCache>
            </c:strRef>
          </c:cat>
          <c:val>
            <c:numRef>
              <c:f>Calculadora!$F$9:$F$14</c:f>
              <c:numCache>
                <c:formatCode>0;\-0;;@</c:formatCode>
                <c:ptCount val="6"/>
                <c:pt idx="0" formatCode="General">
                  <c:v>0</c:v>
                </c:pt>
                <c:pt idx="1">
                  <c:v>0</c:v>
                </c:pt>
                <c:pt idx="2" formatCode="0.0;\-0.0;;@">
                  <c:v>0</c:v>
                </c:pt>
                <c:pt idx="3">
                  <c:v>0</c:v>
                </c:pt>
                <c:pt idx="4">
                  <c:v>0</c:v>
                </c:pt>
                <c:pt idx="5" formatCode="0.0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A7E-466D-989B-282209D36A4E}"/>
            </c:ext>
          </c:extLst>
        </c:ser>
        <c:ser>
          <c:idx val="4"/>
          <c:order val="4"/>
          <c:tx>
            <c:strRef>
              <c:f>Calculadora!$G$6:$G$8</c:f>
              <c:strCache>
                <c:ptCount val="3"/>
                <c:pt idx="0">
                  <c:v>0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Calculadora!$B$9:$B$14</c:f>
              <c:strCache>
                <c:ptCount val="6"/>
                <c:pt idx="0">
                  <c:v>Parametros</c:v>
                </c:pt>
                <c:pt idx="1">
                  <c:v>kV</c:v>
                </c:pt>
                <c:pt idx="2">
                  <c:v>mAs</c:v>
                </c:pt>
                <c:pt idx="3">
                  <c:v>Placas Aprobadas</c:v>
                </c:pt>
                <c:pt idx="4">
                  <c:v>Placas Rechazadas</c:v>
                </c:pt>
                <c:pt idx="5">
                  <c:v>Dosis [mGy]</c:v>
                </c:pt>
              </c:strCache>
            </c:strRef>
          </c:cat>
          <c:val>
            <c:numRef>
              <c:f>Calculadora!$G$9:$G$14</c:f>
              <c:numCache>
                <c:formatCode>0;\-0;;@</c:formatCode>
                <c:ptCount val="6"/>
                <c:pt idx="0" formatCode="General">
                  <c:v>0</c:v>
                </c:pt>
                <c:pt idx="1">
                  <c:v>0</c:v>
                </c:pt>
                <c:pt idx="2" formatCode="0.0;\-0.0;;@">
                  <c:v>0</c:v>
                </c:pt>
                <c:pt idx="3">
                  <c:v>0</c:v>
                </c:pt>
                <c:pt idx="4">
                  <c:v>0</c:v>
                </c:pt>
                <c:pt idx="5" formatCode="0.0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A7E-466D-989B-282209D36A4E}"/>
            </c:ext>
          </c:extLst>
        </c:ser>
        <c:ser>
          <c:idx val="5"/>
          <c:order val="5"/>
          <c:tx>
            <c:strRef>
              <c:f>Calculadora!$H$6:$H$8</c:f>
              <c:strCache>
                <c:ptCount val="3"/>
                <c:pt idx="0">
                  <c:v>0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Calculadora!$B$9:$B$14</c:f>
              <c:strCache>
                <c:ptCount val="6"/>
                <c:pt idx="0">
                  <c:v>Parametros</c:v>
                </c:pt>
                <c:pt idx="1">
                  <c:v>kV</c:v>
                </c:pt>
                <c:pt idx="2">
                  <c:v>mAs</c:v>
                </c:pt>
                <c:pt idx="3">
                  <c:v>Placas Aprobadas</c:v>
                </c:pt>
                <c:pt idx="4">
                  <c:v>Placas Rechazadas</c:v>
                </c:pt>
                <c:pt idx="5">
                  <c:v>Dosis [mGy]</c:v>
                </c:pt>
              </c:strCache>
            </c:strRef>
          </c:cat>
          <c:val>
            <c:numRef>
              <c:f>Calculadora!$H$9:$H$14</c:f>
              <c:numCache>
                <c:formatCode>0;\-0;;@</c:formatCode>
                <c:ptCount val="6"/>
                <c:pt idx="0" formatCode="General">
                  <c:v>0</c:v>
                </c:pt>
                <c:pt idx="1">
                  <c:v>0</c:v>
                </c:pt>
                <c:pt idx="2" formatCode="0.0;\-0.0;;@">
                  <c:v>0</c:v>
                </c:pt>
                <c:pt idx="3">
                  <c:v>0</c:v>
                </c:pt>
                <c:pt idx="4">
                  <c:v>0</c:v>
                </c:pt>
                <c:pt idx="5" formatCode="0.0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A7E-466D-989B-282209D36A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40954080"/>
        <c:axId val="1264683680"/>
      </c:barChart>
      <c:catAx>
        <c:axId val="11409540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264683680"/>
        <c:crosses val="autoZero"/>
        <c:auto val="1"/>
        <c:lblAlgn val="ctr"/>
        <c:lblOffset val="100"/>
        <c:noMultiLvlLbl val="0"/>
      </c:catAx>
      <c:valAx>
        <c:axId val="1264683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1409540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85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73353" cy="6297706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257175</xdr:colOff>
          <xdr:row>15</xdr:row>
          <xdr:rowOff>47625</xdr:rowOff>
        </xdr:from>
        <xdr:to>
          <xdr:col>7</xdr:col>
          <xdr:colOff>438150</xdr:colOff>
          <xdr:row>17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80"/>
                  </a:solidFill>
                  <a:latin typeface="Aptos Narrow"/>
                </a:rPr>
                <a:t>Limpiar Datos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28575</xdr:colOff>
          <xdr:row>15</xdr:row>
          <xdr:rowOff>57150</xdr:rowOff>
        </xdr:from>
        <xdr:to>
          <xdr:col>10</xdr:col>
          <xdr:colOff>295275</xdr:colOff>
          <xdr:row>17</xdr:row>
          <xdr:rowOff>76200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8000"/>
                  </a:solidFill>
                  <a:latin typeface="Aptos Narrow"/>
                </a:rPr>
                <a:t>Guardar datos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57150</xdr:colOff>
      <xdr:row>5</xdr:row>
      <xdr:rowOff>38099</xdr:rowOff>
    </xdr:from>
    <xdr:to>
      <xdr:col>1</xdr:col>
      <xdr:colOff>1409700</xdr:colOff>
      <xdr:row>7</xdr:row>
      <xdr:rowOff>190500</xdr:rowOff>
    </xdr:to>
    <xdr:pic>
      <xdr:nvPicPr>
        <xdr:cNvPr id="4" name="Imagen 3"/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579" r="4123"/>
        <a:stretch>
          <a:fillRect/>
        </a:stretch>
      </xdr:blipFill>
      <xdr:spPr bwMode="auto">
        <a:xfrm>
          <a:off x="419100" y="1190624"/>
          <a:ext cx="1352550" cy="647701"/>
        </a:xfrm>
        <a:prstGeom prst="rect">
          <a:avLst/>
        </a:prstGeom>
        <a:noFill/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66675</xdr:colOff>
      <xdr:row>4</xdr:row>
      <xdr:rowOff>19050</xdr:rowOff>
    </xdr:from>
    <xdr:ext cx="1619250" cy="37587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CuadroTexto 1"/>
            <xdr:cNvSpPr txBox="1"/>
          </xdr:nvSpPr>
          <xdr:spPr>
            <a:xfrm>
              <a:off x="8324850" y="838200"/>
              <a:ext cx="1619250" cy="37587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CO" sz="2400" b="0" i="1">
                        <a:latin typeface="Cambria Math" panose="02040503050406030204" pitchFamily="18" charset="0"/>
                      </a:rPr>
                      <m:t>𝑅</m:t>
                    </m:r>
                    <m:r>
                      <a:rPr lang="es-CO" sz="24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CO" sz="2400" b="0" i="1">
                        <a:latin typeface="Cambria Math" panose="02040503050406030204" pitchFamily="18" charset="0"/>
                      </a:rPr>
                      <m:t>𝑎</m:t>
                    </m:r>
                    <m:r>
                      <a:rPr lang="es-CO" sz="2400" b="0" i="1">
                        <a:latin typeface="Cambria Math" panose="02040503050406030204" pitchFamily="18" charset="0"/>
                      </a:rPr>
                      <m:t>∗</m:t>
                    </m:r>
                    <m:sSup>
                      <m:sSupPr>
                        <m:ctrlPr>
                          <a:rPr lang="es-CO" sz="24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m:rPr>
                            <m:sty m:val="p"/>
                          </m:rPr>
                          <a:rPr lang="es-CO" sz="2400" b="0" i="0">
                            <a:latin typeface="Cambria Math" panose="02040503050406030204" pitchFamily="18" charset="0"/>
                          </a:rPr>
                          <m:t>kV</m:t>
                        </m:r>
                      </m:e>
                      <m:sup>
                        <m:r>
                          <a:rPr lang="es-CO" sz="2400" b="0" i="1">
                            <a:latin typeface="Cambria Math" panose="02040503050406030204" pitchFamily="18" charset="0"/>
                          </a:rPr>
                          <m:t>𝑏</m:t>
                        </m:r>
                      </m:sup>
                    </m:sSup>
                  </m:oMath>
                </m:oMathPara>
              </a14:m>
              <a:endParaRPr lang="es-CO" sz="2400" b="0" i="0">
                <a:latin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2" name="CuadroTexto 1"/>
            <xdr:cNvSpPr txBox="1"/>
          </xdr:nvSpPr>
          <xdr:spPr>
            <a:xfrm>
              <a:off x="8324850" y="838200"/>
              <a:ext cx="1619250" cy="37587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s-CO" sz="2400" b="0" i="0">
                  <a:latin typeface="Cambria Math" panose="02040503050406030204" pitchFamily="18" charset="0"/>
                </a:rPr>
                <a:t>𝑅=𝑎∗kV^𝑏</a:t>
              </a:r>
            </a:p>
          </xdr:txBody>
        </xdr:sp>
      </mc:Fallback>
    </mc:AlternateContent>
    <xdr:clientData/>
  </xdr:one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tabColor theme="4"/>
  </sheetPr>
  <dimension ref="A1:Z199"/>
  <sheetViews>
    <sheetView topLeftCell="B1" zoomScaleNormal="100" workbookViewId="0">
      <selection activeCell="S18" sqref="S18"/>
    </sheetView>
  </sheetViews>
  <sheetFormatPr baseColWidth="10" defaultColWidth="11.375" defaultRowHeight="18"/>
  <cols>
    <col min="1" max="1" width="4.75" style="6" customWidth="1"/>
    <col min="2" max="2" width="19.125" style="6" bestFit="1" customWidth="1"/>
    <col min="3" max="3" width="6.875" style="6" bestFit="1" customWidth="1"/>
    <col min="4" max="4" width="5.875" style="6" bestFit="1" customWidth="1"/>
    <col min="5" max="5" width="10" style="6" bestFit="1" customWidth="1"/>
    <col min="6" max="6" width="6.875" style="6" bestFit="1" customWidth="1"/>
    <col min="7" max="7" width="5.875" style="6" bestFit="1" customWidth="1"/>
    <col min="8" max="8" width="10" style="6" bestFit="1" customWidth="1"/>
    <col min="9" max="9" width="5.625" style="6" customWidth="1"/>
    <col min="10" max="17" width="5.75" style="6" customWidth="1"/>
    <col min="18" max="20" width="11.375" style="6"/>
    <col min="21" max="26" width="11.375" style="5"/>
    <col min="27" max="16384" width="11.375" style="6"/>
  </cols>
  <sheetData>
    <row r="1" spans="1:20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</row>
    <row r="2" spans="1:20">
      <c r="A2" s="5"/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</row>
    <row r="3" spans="1:20">
      <c r="A3" s="5"/>
      <c r="B3" s="5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</row>
    <row r="4" spans="1:20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</row>
    <row r="5" spans="1:20" ht="18.75" thickBot="1">
      <c r="A5" s="5"/>
      <c r="B5" s="35"/>
      <c r="C5" s="35"/>
      <c r="D5" s="35"/>
      <c r="E5" s="35"/>
      <c r="F5" s="35"/>
      <c r="G5" s="35"/>
      <c r="H5" s="3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</row>
    <row r="6" spans="1:20" ht="19.5" thickTop="1" thickBot="1">
      <c r="A6" s="37"/>
      <c r="B6" s="61"/>
      <c r="C6" s="63" t="s">
        <v>52</v>
      </c>
      <c r="D6" s="64"/>
      <c r="E6" s="64"/>
      <c r="F6" s="65"/>
      <c r="G6" s="66">
        <v>0</v>
      </c>
      <c r="H6" s="67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</row>
    <row r="7" spans="1:20" ht="19.5" customHeight="1" thickTop="1">
      <c r="A7" s="37"/>
      <c r="B7" s="61"/>
      <c r="C7" s="68" t="s">
        <v>51</v>
      </c>
      <c r="D7" s="69"/>
      <c r="E7" s="69"/>
      <c r="F7" s="69"/>
      <c r="G7" s="69"/>
      <c r="H7" s="70"/>
      <c r="I7" s="5"/>
      <c r="J7" s="55" t="str">
        <f>"**Reporte de Dosis:**" &amp; CHAR(10) &amp; "Peso del paciente: "&amp;$G$6&amp;" Kg" &amp; CHAR(10) &amp;
IF(C$14&lt;&gt;0, "Dist: " &amp; $C$8 &amp; "; Pos: " &amp; C$9 &amp; "; kV: " &amp; C$10 &amp; "; mAs: " &amp; C$11 &amp; "; Img Apr: " &amp; C$12 &amp; "; Img Rech: " &amp; C$13 &amp; "; Dosis: " &amp; C$14 &amp; " mGy", "") &amp;
IF(D$14&lt;&gt;0, CHAR(10) &amp; "Dist: " &amp; $C$8 &amp; "; Pos: " &amp; D$9 &amp; "; kV: " &amp; D$10 &amp; "; mAs: " &amp; D$11 &amp; "; Img Apr: " &amp; D$12 &amp; "; Img Rech: " &amp; D$13 &amp; "; Dosis: " &amp; D$14 &amp; " mGy", "") &amp;
IF(E$14&lt;&gt;0, CHAR(10) &amp; "Dist: " &amp; $C$8 &amp; "; Pos: " &amp; E$9 &amp; "; kV: " &amp; E$10 &amp; "; mAs: " &amp; E$11 &amp; "; Img Apr: " &amp; E$12 &amp; "; Img Rech: " &amp; E$13 &amp; "; Dosis: " &amp; E$14 &amp; " mGy", "") &amp;
IF(F$14&lt;&gt;0, CHAR(10) &amp; "Dist: " &amp; $F$8 &amp; "; Pos: " &amp; F$9 &amp; "; kV: " &amp; F$10 &amp; "; mAs: " &amp; F$11 &amp; "; Img Apr: " &amp; F$12 &amp; "; Img Rech: " &amp; F$13 &amp; "; Dosis: " &amp; F$14 &amp; " mGy", "") &amp;
IF(G$14&lt;&gt;0, CHAR(10) &amp; "Dist: " &amp; $F$8 &amp; "; Pos: " &amp; G$9 &amp; "; kV: " &amp; G$10 &amp; "; mAs: " &amp; G$11 &amp; "; Img Apr: " &amp; G$12 &amp; "; Img Rech: " &amp; G$13 &amp; "; Dosis: " &amp; G$14 &amp; " mGy", "") &amp;
IF(H$14&lt;&gt;0, CHAR(10) &amp; "Dist: " &amp; $F$8 &amp; "; Pos: " &amp; H$9 &amp; "; kV: " &amp; H$10 &amp; "; mAs: " &amp; H$11 &amp; "; Img Apr: " &amp; H$12 &amp; "; Img Rech: " &amp; H$13 &amp; "; Dosis: " &amp; H$14 &amp; " mGy", "") &amp;
CHAR(10) &amp; "**Dosis total: " &amp; (C$14+D$14+E$14+F$14+G$14+H$14) &amp; " mGy**"</f>
        <v>**Reporte de Dosis:**
Peso del paciente: 0 Kg
**Dosis total: 0 mGy**</v>
      </c>
      <c r="K7" s="56"/>
      <c r="L7" s="56"/>
      <c r="M7" s="56"/>
      <c r="N7" s="56"/>
      <c r="O7" s="56"/>
      <c r="P7" s="56"/>
      <c r="Q7" s="56"/>
      <c r="R7" s="56"/>
      <c r="S7" s="57"/>
      <c r="T7" s="18"/>
    </row>
    <row r="8" spans="1:20" ht="18.75" customHeight="1">
      <c r="A8" s="37"/>
      <c r="B8" s="62"/>
      <c r="C8" s="71" t="s">
        <v>3</v>
      </c>
      <c r="D8" s="72"/>
      <c r="E8" s="73"/>
      <c r="F8" s="74" t="s">
        <v>4</v>
      </c>
      <c r="G8" s="75"/>
      <c r="H8" s="76"/>
      <c r="I8" s="5"/>
      <c r="J8" s="58"/>
      <c r="K8" s="59"/>
      <c r="L8" s="59"/>
      <c r="M8" s="59"/>
      <c r="N8" s="59"/>
      <c r="O8" s="59"/>
      <c r="P8" s="59"/>
      <c r="Q8" s="59"/>
      <c r="R8" s="59"/>
      <c r="S8" s="60"/>
      <c r="T8" s="18"/>
    </row>
    <row r="9" spans="1:20">
      <c r="A9" s="37"/>
      <c r="B9" s="14" t="s">
        <v>8</v>
      </c>
      <c r="C9" s="4" t="s">
        <v>0</v>
      </c>
      <c r="D9" s="4" t="s">
        <v>1</v>
      </c>
      <c r="E9" s="2" t="s">
        <v>9</v>
      </c>
      <c r="F9" s="10" t="s">
        <v>0</v>
      </c>
      <c r="G9" s="3" t="s">
        <v>1</v>
      </c>
      <c r="H9" s="19" t="s">
        <v>9</v>
      </c>
      <c r="I9" s="5"/>
      <c r="J9" s="58"/>
      <c r="K9" s="59"/>
      <c r="L9" s="59"/>
      <c r="M9" s="59"/>
      <c r="N9" s="59"/>
      <c r="O9" s="59"/>
      <c r="P9" s="59"/>
      <c r="Q9" s="59"/>
      <c r="R9" s="59"/>
      <c r="S9" s="60"/>
      <c r="T9" s="18"/>
    </row>
    <row r="10" spans="1:20">
      <c r="A10" s="37"/>
      <c r="B10" s="14" t="s">
        <v>20</v>
      </c>
      <c r="C10" s="7">
        <v>0</v>
      </c>
      <c r="D10" s="7">
        <v>0</v>
      </c>
      <c r="E10" s="17">
        <v>0</v>
      </c>
      <c r="F10" s="16">
        <v>0</v>
      </c>
      <c r="G10" s="7">
        <v>0</v>
      </c>
      <c r="H10" s="20">
        <v>0</v>
      </c>
      <c r="I10" s="5"/>
      <c r="J10" s="58"/>
      <c r="K10" s="59"/>
      <c r="L10" s="59"/>
      <c r="M10" s="59"/>
      <c r="N10" s="59"/>
      <c r="O10" s="59"/>
      <c r="P10" s="59"/>
      <c r="Q10" s="59"/>
      <c r="R10" s="59"/>
      <c r="S10" s="60"/>
      <c r="T10" s="18"/>
    </row>
    <row r="11" spans="1:20">
      <c r="A11" s="37"/>
      <c r="B11" s="14" t="s">
        <v>11</v>
      </c>
      <c r="C11" s="8">
        <v>0</v>
      </c>
      <c r="D11" s="8">
        <v>0</v>
      </c>
      <c r="E11" s="24">
        <v>0</v>
      </c>
      <c r="F11" s="23">
        <v>0</v>
      </c>
      <c r="G11" s="8">
        <v>0</v>
      </c>
      <c r="H11" s="21">
        <v>0</v>
      </c>
      <c r="I11" s="5"/>
      <c r="J11" s="58"/>
      <c r="K11" s="59"/>
      <c r="L11" s="59"/>
      <c r="M11" s="59"/>
      <c r="N11" s="59"/>
      <c r="O11" s="59"/>
      <c r="P11" s="59"/>
      <c r="Q11" s="59"/>
      <c r="R11" s="59"/>
      <c r="S11" s="60"/>
      <c r="T11" s="18"/>
    </row>
    <row r="12" spans="1:20">
      <c r="A12" s="37"/>
      <c r="B12" s="14" t="s">
        <v>13</v>
      </c>
      <c r="C12" s="7">
        <v>0</v>
      </c>
      <c r="D12" s="7">
        <v>0</v>
      </c>
      <c r="E12" s="17">
        <v>0</v>
      </c>
      <c r="F12" s="16">
        <v>0</v>
      </c>
      <c r="G12" s="7">
        <v>0</v>
      </c>
      <c r="H12" s="20">
        <v>0</v>
      </c>
      <c r="I12" s="5"/>
      <c r="J12" s="58"/>
      <c r="K12" s="59"/>
      <c r="L12" s="59"/>
      <c r="M12" s="59"/>
      <c r="N12" s="59"/>
      <c r="O12" s="59"/>
      <c r="P12" s="59"/>
      <c r="Q12" s="59"/>
      <c r="R12" s="59"/>
      <c r="S12" s="60"/>
      <c r="T12" s="18"/>
    </row>
    <row r="13" spans="1:20" ht="18.75" thickBot="1">
      <c r="A13" s="37"/>
      <c r="B13" s="14" t="s">
        <v>15</v>
      </c>
      <c r="C13" s="7">
        <v>0</v>
      </c>
      <c r="D13" s="7">
        <v>0</v>
      </c>
      <c r="E13" s="17">
        <v>0</v>
      </c>
      <c r="F13" s="16">
        <v>0</v>
      </c>
      <c r="G13" s="7">
        <v>0</v>
      </c>
      <c r="H13" s="20">
        <v>0</v>
      </c>
      <c r="I13" s="5"/>
      <c r="J13" s="58"/>
      <c r="K13" s="59"/>
      <c r="L13" s="59"/>
      <c r="M13" s="59"/>
      <c r="N13" s="59"/>
      <c r="O13" s="59"/>
      <c r="P13" s="59"/>
      <c r="Q13" s="59"/>
      <c r="R13" s="59"/>
      <c r="S13" s="60"/>
      <c r="T13" s="18"/>
    </row>
    <row r="14" spans="1:20" ht="19.5" thickTop="1" thickBot="1">
      <c r="A14" s="37"/>
      <c r="B14" s="36" t="s">
        <v>16</v>
      </c>
      <c r="C14" s="13">
        <f>ROUND(($C$12+$C$13)*1.4*Parametros!J3*POWER($C$10,Parametros!K3)*C11*POWER(100/(VLOOKUP($C$7,Parametros!$B$3:$F$37,5,FALSE)-VLOOKUP($C$7,Parametros!$B$3:$C$37,2,FALSE)),2)/1000,2)</f>
        <v>0</v>
      </c>
      <c r="D14" s="13">
        <f>ROUND(($D$12+$D$13)*1.4*Parametros!J3*POWER($D$10,Parametros!K3)*D11*POWER(100/(VLOOKUP($C$7,Parametros!$B$3:$G$37,5,FALSE)-VLOOKUP($C$7,Parametros!$B$3:$D$37,3,FALSE)),2)/1000,2)</f>
        <v>0</v>
      </c>
      <c r="E14" s="12">
        <f>ROUND(($E$12+$E$13)*1.4*Parametros!J3*POWER($E$10,Parametros!K3)*E11*POWER(100/(VLOOKUP($C$7,Parametros!$B$3:$G$37,5,FALSE)-VLOOKUP($C$7,Parametros!$B$3:$E$37,4,FALSE)),2)/1000,2)</f>
        <v>0</v>
      </c>
      <c r="F14" s="11">
        <f>ROUND(($F$12+$F$13)*1.4*Parametros!J3*POWER($F$10,Parametros!K3)*F11*POWER(100/(VLOOKUP($C$7,Parametros!$B$3:$G$37,6,FALSE)-VLOOKUP($C$7,Parametros!$B$3:$E$37,2,FALSE)),2)/1000,2)</f>
        <v>0</v>
      </c>
      <c r="G14" s="13">
        <f>ROUND(($G$12+$G$13)*1.4*Parametros!J3*POWER($G$10,Parametros!K3)*G11*POWER(100/(VLOOKUP($C$7,Parametros!$B$3:$G$37,6,FALSE)-VLOOKUP($C$7,Parametros!$B$3:$E$37,3,FALSE)),2)/1000,2)</f>
        <v>0</v>
      </c>
      <c r="H14" s="22">
        <f>ROUND(($H$12+$H$13)*1.4*Parametros!J3*POWER($H$10,Parametros!K3)*H11*POWER(100/(VLOOKUP($C$7,Parametros!$B$3:$G$37,6,FALSE)-VLOOKUP($C$7,Parametros!$B$3:$E$37,4,FALSE)),2)/1000,2)</f>
        <v>0</v>
      </c>
      <c r="I14" s="5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5"/>
    </row>
    <row r="15" spans="1:20" ht="18.75" thickTop="1">
      <c r="A15" s="5"/>
      <c r="B15" s="15"/>
      <c r="C15" s="15"/>
      <c r="D15" s="15"/>
      <c r="E15" s="15"/>
      <c r="F15" s="15"/>
      <c r="G15" s="1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</row>
    <row r="16" spans="1:20" ht="18.75">
      <c r="A16" s="5"/>
      <c r="B16" s="33"/>
      <c r="C16" s="34"/>
      <c r="D16" s="5"/>
      <c r="E16" s="5"/>
      <c r="F16" s="5"/>
      <c r="G16" s="5"/>
      <c r="H16" s="5"/>
      <c r="I16" s="5"/>
      <c r="J16" s="9"/>
      <c r="K16" s="5"/>
      <c r="L16" s="5"/>
      <c r="M16" s="5"/>
      <c r="N16" s="5"/>
      <c r="O16" s="5"/>
      <c r="P16" s="5"/>
      <c r="Q16" s="5"/>
      <c r="R16" s="5"/>
      <c r="S16" s="5"/>
      <c r="T16" s="5"/>
    </row>
    <row r="17" spans="1:20">
      <c r="A17" s="5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</row>
    <row r="18" spans="1:20">
      <c r="A18" s="5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</row>
    <row r="19" spans="1:20">
      <c r="A19" s="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</row>
    <row r="20" spans="1:20">
      <c r="A20" s="5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</row>
    <row r="21" spans="1:20">
      <c r="A21" s="5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</row>
    <row r="22" spans="1:20">
      <c r="A22" s="5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</row>
    <row r="23" spans="1:20">
      <c r="A23" s="5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</row>
    <row r="24" spans="1:20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</row>
    <row r="25" spans="1:20">
      <c r="A25" s="5"/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</row>
    <row r="26" spans="1:20">
      <c r="A26" s="5"/>
      <c r="B26" s="5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</row>
    <row r="27" spans="1:20">
      <c r="A27" s="5"/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</row>
    <row r="28" spans="1:20">
      <c r="A28" s="5"/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</row>
    <row r="29" spans="1:20">
      <c r="A29" s="5"/>
      <c r="B29" s="5"/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</row>
    <row r="30" spans="1:20">
      <c r="A30" s="5"/>
      <c r="B30" s="5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</row>
    <row r="31" spans="1:20">
      <c r="A31" s="5"/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</row>
    <row r="32" spans="1:20">
      <c r="A32" s="5"/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</row>
    <row r="33" spans="1:20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</row>
    <row r="34" spans="1:20">
      <c r="A34" s="5"/>
      <c r="B34" s="5"/>
      <c r="C34" s="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</row>
    <row r="35" spans="1:20">
      <c r="A35" s="5"/>
      <c r="B35" s="5"/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</row>
    <row r="36" spans="1:20">
      <c r="A36" s="5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</row>
    <row r="37" spans="1:20">
      <c r="A37" s="5"/>
      <c r="B37" s="5"/>
      <c r="C37" s="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</row>
    <row r="38" spans="1:20">
      <c r="A38" s="5"/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</row>
    <row r="39" spans="1:20">
      <c r="A39" s="5"/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</row>
    <row r="40" spans="1:20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</row>
    <row r="41" spans="1:20">
      <c r="A41" s="5"/>
      <c r="B41" s="5"/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</row>
    <row r="42" spans="1:20">
      <c r="A42" s="5"/>
      <c r="B42" s="5"/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</row>
    <row r="43" spans="1:20">
      <c r="A43" s="5"/>
      <c r="B43" s="5"/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</row>
    <row r="44" spans="1:20">
      <c r="A44" s="5"/>
      <c r="B44" s="5"/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</row>
    <row r="45" spans="1:20">
      <c r="A45" s="5"/>
      <c r="B45" s="5"/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</row>
    <row r="46" spans="1:20">
      <c r="A46" s="5"/>
      <c r="B46" s="5"/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</row>
    <row r="47" spans="1:20">
      <c r="A47" s="5"/>
      <c r="B47" s="5"/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</row>
    <row r="48" spans="1:20">
      <c r="A48" s="5"/>
      <c r="B48" s="5"/>
      <c r="C48" s="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</row>
    <row r="49" spans="1:20">
      <c r="A49" s="5"/>
      <c r="B49" s="5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</row>
    <row r="50" spans="1:20">
      <c r="A50" s="5"/>
      <c r="B50" s="5"/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</row>
    <row r="51" spans="1:20">
      <c r="A51" s="5"/>
      <c r="B51" s="5"/>
      <c r="C51" s="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</row>
    <row r="52" spans="1:20">
      <c r="A52" s="5"/>
      <c r="B52" s="5"/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</row>
    <row r="53" spans="1:20">
      <c r="A53" s="5"/>
      <c r="B53" s="5"/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</row>
    <row r="54" spans="1:20">
      <c r="A54" s="5"/>
      <c r="B54" s="5"/>
      <c r="C54" s="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</row>
    <row r="55" spans="1:20">
      <c r="A55" s="5"/>
      <c r="B55" s="5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</row>
    <row r="56" spans="1:20">
      <c r="A56" s="5"/>
      <c r="B56" s="5"/>
      <c r="C56" s="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</row>
    <row r="57" spans="1:20">
      <c r="A57" s="5"/>
      <c r="B57" s="5"/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</row>
    <row r="58" spans="1:20">
      <c r="A58" s="5"/>
      <c r="B58" s="5"/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</row>
    <row r="59" spans="1:20">
      <c r="A59" s="5"/>
      <c r="B59" s="5"/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</row>
    <row r="60" spans="1:20">
      <c r="A60" s="5"/>
      <c r="B60" s="5"/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</row>
    <row r="61" spans="1:20">
      <c r="A61" s="5"/>
      <c r="B61" s="5"/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</row>
    <row r="62" spans="1:20">
      <c r="A62" s="5"/>
      <c r="B62" s="5"/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</row>
    <row r="63" spans="1:20">
      <c r="A63" s="5"/>
      <c r="B63" s="5"/>
      <c r="C63" s="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</row>
    <row r="64" spans="1:20">
      <c r="A64" s="5"/>
      <c r="B64" s="5"/>
      <c r="C64" s="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</row>
    <row r="65" spans="1:20">
      <c r="A65" s="5"/>
      <c r="B65" s="5"/>
      <c r="C65" s="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</row>
    <row r="66" spans="1:20">
      <c r="A66" s="5"/>
      <c r="B66" s="5"/>
      <c r="C66" s="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</row>
    <row r="67" spans="1:20">
      <c r="A67" s="5"/>
      <c r="B67" s="5"/>
      <c r="C67" s="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</row>
    <row r="68" spans="1:20">
      <c r="A68" s="5"/>
      <c r="B68" s="5"/>
      <c r="C68" s="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</row>
    <row r="69" spans="1:20">
      <c r="A69" s="5"/>
      <c r="B69" s="5"/>
      <c r="C69" s="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</row>
    <row r="70" spans="1:20">
      <c r="A70" s="5"/>
      <c r="B70" s="5"/>
      <c r="C70" s="5"/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</row>
    <row r="71" spans="1:20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</row>
    <row r="72" spans="1:20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</row>
    <row r="73" spans="1:20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</row>
    <row r="74" spans="1:20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</row>
    <row r="75" spans="1:20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</row>
    <row r="76" spans="1:20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</row>
    <row r="77" spans="1:20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</row>
    <row r="78" spans="1:20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</row>
    <row r="79" spans="1:20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</row>
    <row r="80" spans="1:20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</row>
    <row r="81" spans="1:20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</row>
    <row r="82" spans="1:20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</row>
    <row r="83" spans="1:20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</row>
    <row r="84" spans="1:20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</row>
    <row r="85" spans="1:20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</row>
    <row r="86" spans="1:20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</row>
    <row r="87" spans="1:20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</row>
    <row r="88" spans="1:20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</row>
    <row r="89" spans="1:20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</row>
    <row r="90" spans="1:20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</row>
    <row r="91" spans="1:20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</row>
    <row r="92" spans="1:20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</row>
    <row r="93" spans="1:20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</row>
    <row r="94" spans="1:20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</row>
    <row r="95" spans="1:20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</row>
    <row r="96" spans="1:20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</row>
    <row r="97" spans="1:20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</row>
    <row r="98" spans="1:20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</row>
    <row r="99" spans="1:20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</row>
    <row r="100" spans="1:20">
      <c r="A100" s="5"/>
      <c r="B100" s="5"/>
      <c r="C100" s="5"/>
      <c r="D100" s="5"/>
      <c r="E100" s="5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</row>
    <row r="101" spans="1:20">
      <c r="A101" s="5"/>
      <c r="B101" s="5"/>
      <c r="C101" s="5"/>
      <c r="D101" s="5"/>
      <c r="E101" s="5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</row>
    <row r="102" spans="1:20">
      <c r="A102" s="5"/>
      <c r="B102" s="5"/>
      <c r="C102" s="5"/>
      <c r="D102" s="5"/>
      <c r="E102" s="5"/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</row>
    <row r="103" spans="1:20">
      <c r="A103" s="5"/>
      <c r="B103" s="5"/>
      <c r="C103" s="5"/>
      <c r="D103" s="5"/>
      <c r="E103" s="5"/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</row>
    <row r="104" spans="1:20">
      <c r="A104" s="5"/>
      <c r="B104" s="5"/>
      <c r="C104" s="5"/>
      <c r="D104" s="5"/>
      <c r="E104" s="5"/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</row>
    <row r="105" spans="1:20">
      <c r="A105" s="5"/>
      <c r="B105" s="5"/>
      <c r="C105" s="5"/>
      <c r="D105" s="5"/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</row>
    <row r="106" spans="1:20">
      <c r="A106" s="5"/>
      <c r="B106" s="5"/>
      <c r="C106" s="5"/>
      <c r="D106" s="5"/>
      <c r="E106" s="5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</row>
    <row r="107" spans="1:20">
      <c r="A107" s="5"/>
      <c r="B107" s="5"/>
      <c r="C107" s="5"/>
      <c r="D107" s="5"/>
      <c r="E107" s="5"/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5"/>
      <c r="Q107" s="5"/>
      <c r="R107" s="5"/>
      <c r="S107" s="5"/>
      <c r="T107" s="5"/>
    </row>
    <row r="108" spans="1:20">
      <c r="A108" s="5"/>
      <c r="B108" s="5"/>
      <c r="C108" s="5"/>
      <c r="D108" s="5"/>
      <c r="E108" s="5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</row>
    <row r="109" spans="1:20">
      <c r="A109" s="5"/>
      <c r="B109" s="5"/>
      <c r="C109" s="5"/>
      <c r="D109" s="5"/>
      <c r="E109" s="5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</row>
    <row r="110" spans="1:20">
      <c r="A110" s="5"/>
      <c r="B110" s="5"/>
      <c r="C110" s="5"/>
      <c r="D110" s="5"/>
      <c r="E110" s="5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</row>
    <row r="111" spans="1:20">
      <c r="A111" s="5"/>
      <c r="B111" s="5"/>
      <c r="C111" s="5"/>
      <c r="D111" s="5"/>
      <c r="E111" s="5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</row>
    <row r="112" spans="1:20">
      <c r="A112" s="5"/>
      <c r="B112" s="5"/>
      <c r="C112" s="5"/>
      <c r="D112" s="5"/>
      <c r="E112" s="5"/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5"/>
      <c r="Q112" s="5"/>
      <c r="R112" s="5"/>
      <c r="S112" s="5"/>
      <c r="T112" s="5"/>
    </row>
    <row r="113" spans="1:20">
      <c r="A113" s="5"/>
      <c r="B113" s="5"/>
      <c r="C113" s="5"/>
      <c r="D113" s="5"/>
      <c r="E113" s="5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</row>
    <row r="114" spans="1:20">
      <c r="A114" s="5"/>
      <c r="B114" s="5"/>
      <c r="C114" s="5"/>
      <c r="D114" s="5"/>
      <c r="E114" s="5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</row>
    <row r="115" spans="1:20">
      <c r="A115" s="5"/>
      <c r="B115" s="5"/>
      <c r="C115" s="5"/>
      <c r="D115" s="5"/>
      <c r="E115" s="5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</row>
    <row r="116" spans="1:20">
      <c r="A116" s="5"/>
      <c r="B116" s="5"/>
      <c r="C116" s="5"/>
      <c r="D116" s="5"/>
      <c r="E116" s="5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</row>
    <row r="117" spans="1:20">
      <c r="A117" s="5"/>
      <c r="B117" s="5"/>
      <c r="C117" s="5"/>
      <c r="D117" s="5"/>
      <c r="E117" s="5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</row>
    <row r="118" spans="1:20">
      <c r="A118" s="5"/>
      <c r="B118" s="5"/>
      <c r="C118" s="5"/>
      <c r="D118" s="5"/>
      <c r="E118" s="5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</row>
    <row r="119" spans="1:20">
      <c r="A119" s="5"/>
      <c r="B119" s="5"/>
      <c r="C119" s="5"/>
      <c r="D119" s="5"/>
      <c r="E119" s="5"/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</row>
    <row r="120" spans="1:20">
      <c r="A120" s="5"/>
      <c r="B120" s="5"/>
      <c r="C120" s="5"/>
      <c r="D120" s="5"/>
      <c r="E120" s="5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</row>
    <row r="121" spans="1:20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</row>
    <row r="122" spans="1:20">
      <c r="A122" s="5"/>
      <c r="B122" s="5"/>
      <c r="C122" s="5"/>
      <c r="D122" s="5"/>
      <c r="E122" s="5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</row>
    <row r="123" spans="1:20">
      <c r="A123" s="5"/>
      <c r="B123" s="5"/>
      <c r="C123" s="5"/>
      <c r="D123" s="5"/>
      <c r="E123" s="5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</row>
    <row r="124" spans="1:20">
      <c r="A124" s="5"/>
      <c r="B124" s="5"/>
      <c r="C124" s="5"/>
      <c r="D124" s="5"/>
      <c r="E124" s="5"/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5"/>
      <c r="Q124" s="5"/>
      <c r="R124" s="5"/>
      <c r="S124" s="5"/>
      <c r="T124" s="5"/>
    </row>
    <row r="125" spans="1:20">
      <c r="A125" s="5"/>
      <c r="B125" s="5"/>
      <c r="C125" s="5"/>
      <c r="D125" s="5"/>
      <c r="E125" s="5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</row>
    <row r="126" spans="1:20">
      <c r="A126" s="5"/>
      <c r="B126" s="5"/>
      <c r="C126" s="5"/>
      <c r="D126" s="5"/>
      <c r="E126" s="5"/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</row>
    <row r="127" spans="1:20">
      <c r="A127" s="5"/>
      <c r="B127" s="5"/>
      <c r="C127" s="5"/>
      <c r="D127" s="5"/>
      <c r="E127" s="5"/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</row>
    <row r="128" spans="1:20">
      <c r="A128" s="5"/>
      <c r="B128" s="5"/>
      <c r="C128" s="5"/>
      <c r="D128" s="5"/>
      <c r="E128" s="5"/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</row>
    <row r="129" spans="1:20">
      <c r="A129" s="5"/>
      <c r="B129" s="5"/>
      <c r="C129" s="5"/>
      <c r="D129" s="5"/>
      <c r="E129" s="5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</row>
    <row r="130" spans="1:20">
      <c r="A130" s="5"/>
      <c r="B130" s="5"/>
      <c r="C130" s="5"/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</row>
    <row r="131" spans="1:20">
      <c r="A131" s="5"/>
      <c r="B131" s="5"/>
      <c r="C131" s="5"/>
      <c r="D131" s="5"/>
      <c r="E131" s="5"/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</row>
    <row r="132" spans="1:20">
      <c r="A132" s="5"/>
      <c r="B132" s="5"/>
      <c r="C132" s="5"/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</row>
    <row r="133" spans="1:20">
      <c r="A133" s="5"/>
      <c r="B133" s="5"/>
      <c r="C133" s="5"/>
      <c r="D133" s="5"/>
      <c r="E133" s="5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</row>
    <row r="134" spans="1:20">
      <c r="A134" s="5"/>
      <c r="B134" s="5"/>
      <c r="C134" s="5"/>
      <c r="D134" s="5"/>
      <c r="E134" s="5"/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</row>
    <row r="135" spans="1:20">
      <c r="A135" s="5"/>
      <c r="B135" s="5"/>
      <c r="C135" s="5"/>
      <c r="D135" s="5"/>
      <c r="E135" s="5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</row>
    <row r="136" spans="1:20">
      <c r="A136" s="5"/>
      <c r="B136" s="5"/>
      <c r="C136" s="5"/>
      <c r="D136" s="5"/>
      <c r="E136" s="5"/>
      <c r="F136" s="5"/>
      <c r="G136" s="5"/>
      <c r="H136" s="5"/>
      <c r="I136" s="5"/>
      <c r="J136" s="5"/>
      <c r="K136" s="5"/>
      <c r="L136" s="5"/>
      <c r="M136" s="5"/>
      <c r="N136" s="5"/>
      <c r="O136" s="5"/>
      <c r="P136" s="5"/>
      <c r="Q136" s="5"/>
      <c r="R136" s="5"/>
      <c r="S136" s="5"/>
      <c r="T136" s="5"/>
    </row>
    <row r="137" spans="1:20">
      <c r="A137" s="5"/>
      <c r="B137" s="5"/>
      <c r="C137" s="5"/>
      <c r="D137" s="5"/>
      <c r="E137" s="5"/>
      <c r="F137" s="5"/>
      <c r="G137" s="5"/>
      <c r="H137" s="5"/>
      <c r="I137" s="5"/>
      <c r="J137" s="5"/>
      <c r="K137" s="5"/>
      <c r="L137" s="5"/>
      <c r="M137" s="5"/>
      <c r="N137" s="5"/>
      <c r="O137" s="5"/>
      <c r="P137" s="5"/>
      <c r="Q137" s="5"/>
      <c r="R137" s="5"/>
      <c r="S137" s="5"/>
      <c r="T137" s="5"/>
    </row>
    <row r="138" spans="1:20">
      <c r="A138" s="5"/>
      <c r="B138" s="5"/>
      <c r="C138" s="5"/>
      <c r="D138" s="5"/>
      <c r="E138" s="5"/>
      <c r="F138" s="5"/>
      <c r="G138" s="5"/>
      <c r="H138" s="5"/>
      <c r="I138" s="5"/>
      <c r="J138" s="5"/>
      <c r="K138" s="5"/>
      <c r="L138" s="5"/>
      <c r="M138" s="5"/>
      <c r="N138" s="5"/>
      <c r="O138" s="5"/>
      <c r="P138" s="5"/>
      <c r="Q138" s="5"/>
      <c r="R138" s="5"/>
      <c r="S138" s="5"/>
      <c r="T138" s="5"/>
    </row>
    <row r="139" spans="1:20">
      <c r="A139" s="5"/>
      <c r="B139" s="5"/>
      <c r="C139" s="5"/>
      <c r="D139" s="5"/>
      <c r="E139" s="5"/>
      <c r="F139" s="5"/>
      <c r="G139" s="5"/>
      <c r="H139" s="5"/>
      <c r="I139" s="5"/>
      <c r="J139" s="5"/>
      <c r="K139" s="5"/>
      <c r="L139" s="5"/>
      <c r="M139" s="5"/>
      <c r="N139" s="5"/>
      <c r="O139" s="5"/>
      <c r="P139" s="5"/>
      <c r="Q139" s="5"/>
      <c r="R139" s="5"/>
      <c r="S139" s="5"/>
      <c r="T139" s="5"/>
    </row>
    <row r="140" spans="1:20">
      <c r="A140" s="5"/>
      <c r="B140" s="5"/>
      <c r="C140" s="5"/>
      <c r="D140" s="5"/>
      <c r="E140" s="5"/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</row>
    <row r="141" spans="1:20">
      <c r="A141" s="5"/>
      <c r="B141" s="5"/>
      <c r="C141" s="5"/>
      <c r="D141" s="5"/>
      <c r="E141" s="5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</row>
    <row r="142" spans="1:20">
      <c r="A142" s="5"/>
      <c r="B142" s="5"/>
      <c r="C142" s="5"/>
      <c r="D142" s="5"/>
      <c r="E142" s="5"/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</row>
    <row r="143" spans="1:20">
      <c r="A143" s="5"/>
      <c r="B143" s="5"/>
      <c r="C143" s="5"/>
      <c r="D143" s="5"/>
      <c r="E143" s="5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</row>
    <row r="144" spans="1:20">
      <c r="A144" s="5"/>
      <c r="B144" s="5"/>
      <c r="C144" s="5"/>
      <c r="D144" s="5"/>
      <c r="E144" s="5"/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</row>
    <row r="145" spans="1:20">
      <c r="A145" s="5"/>
      <c r="B145" s="5"/>
      <c r="C145" s="5"/>
      <c r="D145" s="5"/>
      <c r="E145" s="5"/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</row>
    <row r="146" spans="1:20">
      <c r="A146" s="5"/>
      <c r="B146" s="5"/>
      <c r="C146" s="5"/>
      <c r="D146" s="5"/>
      <c r="E146" s="5"/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</row>
    <row r="147" spans="1:20">
      <c r="A147" s="5"/>
      <c r="B147" s="5"/>
      <c r="C147" s="5"/>
      <c r="D147" s="5"/>
      <c r="E147" s="5"/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</row>
    <row r="148" spans="1:20">
      <c r="A148" s="5"/>
      <c r="B148" s="5"/>
      <c r="C148" s="5"/>
      <c r="D148" s="5"/>
      <c r="E148" s="5"/>
      <c r="F148" s="5"/>
      <c r="G148" s="5"/>
      <c r="H148" s="5"/>
      <c r="I148" s="5"/>
      <c r="J148" s="5"/>
      <c r="K148" s="5"/>
      <c r="L148" s="5"/>
      <c r="M148" s="5"/>
      <c r="N148" s="5"/>
      <c r="O148" s="5"/>
      <c r="P148" s="5"/>
      <c r="Q148" s="5"/>
      <c r="R148" s="5"/>
      <c r="S148" s="5"/>
      <c r="T148" s="5"/>
    </row>
    <row r="149" spans="1:20">
      <c r="A149" s="5"/>
      <c r="B149" s="5"/>
      <c r="C149" s="5"/>
      <c r="D149" s="5"/>
      <c r="E149" s="5"/>
      <c r="F149" s="5"/>
      <c r="G149" s="5"/>
      <c r="H149" s="5"/>
      <c r="I149" s="5"/>
      <c r="J149" s="5"/>
      <c r="K149" s="5"/>
      <c r="L149" s="5"/>
      <c r="M149" s="5"/>
      <c r="N149" s="5"/>
      <c r="O149" s="5"/>
      <c r="P149" s="5"/>
      <c r="Q149" s="5"/>
      <c r="R149" s="5"/>
      <c r="S149" s="5"/>
      <c r="T149" s="5"/>
    </row>
    <row r="150" spans="1:20">
      <c r="A150" s="5"/>
      <c r="B150" s="5"/>
      <c r="C150" s="5"/>
      <c r="D150" s="5"/>
      <c r="E150" s="5"/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</row>
    <row r="151" spans="1:20">
      <c r="A151" s="5"/>
      <c r="B151" s="5"/>
      <c r="C151" s="5"/>
      <c r="D151" s="5"/>
      <c r="E151" s="5"/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</row>
    <row r="152" spans="1:20">
      <c r="A152" s="5"/>
      <c r="B152" s="5"/>
      <c r="C152" s="5"/>
      <c r="D152" s="5"/>
      <c r="E152" s="5"/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</row>
    <row r="153" spans="1:20">
      <c r="A153" s="5"/>
      <c r="B153" s="5"/>
      <c r="C153" s="5"/>
      <c r="D153" s="5"/>
      <c r="E153" s="5"/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</row>
    <row r="154" spans="1:20">
      <c r="A154" s="5"/>
      <c r="B154" s="5"/>
      <c r="C154" s="5"/>
      <c r="D154" s="5"/>
      <c r="E154" s="5"/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</row>
    <row r="155" spans="1:20">
      <c r="A155" s="5"/>
      <c r="B155" s="5"/>
      <c r="C155" s="5"/>
      <c r="D155" s="5"/>
      <c r="E155" s="5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</row>
    <row r="156" spans="1:20">
      <c r="A156" s="5"/>
      <c r="B156" s="5"/>
      <c r="C156" s="5"/>
      <c r="D156" s="5"/>
      <c r="E156" s="5"/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</row>
    <row r="157" spans="1:20">
      <c r="A157" s="5"/>
      <c r="B157" s="5"/>
      <c r="C157" s="5"/>
      <c r="D157" s="5"/>
      <c r="E157" s="5"/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</row>
    <row r="158" spans="1:20">
      <c r="A158" s="5"/>
      <c r="B158" s="5"/>
      <c r="C158" s="5"/>
      <c r="D158" s="5"/>
      <c r="E158" s="5"/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</row>
    <row r="159" spans="1:20">
      <c r="A159" s="5"/>
      <c r="B159" s="5"/>
      <c r="C159" s="5"/>
      <c r="D159" s="5"/>
      <c r="E159" s="5"/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</row>
    <row r="160" spans="1:20">
      <c r="A160" s="5"/>
      <c r="B160" s="5"/>
      <c r="C160" s="5"/>
      <c r="D160" s="5"/>
      <c r="E160" s="5"/>
      <c r="F160" s="5"/>
      <c r="G160" s="5"/>
      <c r="H160" s="5"/>
      <c r="I160" s="5"/>
      <c r="J160" s="5"/>
      <c r="K160" s="5"/>
      <c r="L160" s="5"/>
      <c r="M160" s="5"/>
      <c r="N160" s="5"/>
      <c r="O160" s="5"/>
      <c r="P160" s="5"/>
      <c r="Q160" s="5"/>
      <c r="R160" s="5"/>
      <c r="S160" s="5"/>
      <c r="T160" s="5"/>
    </row>
    <row r="161" spans="1:20">
      <c r="A161" s="5"/>
      <c r="B161" s="5"/>
      <c r="C161" s="5"/>
      <c r="D161" s="5"/>
      <c r="E161" s="5"/>
      <c r="F161" s="5"/>
      <c r="G161" s="5"/>
      <c r="H161" s="5"/>
      <c r="I161" s="5"/>
      <c r="J161" s="5"/>
      <c r="K161" s="5"/>
      <c r="L161" s="5"/>
      <c r="M161" s="5"/>
      <c r="N161" s="5"/>
      <c r="O161" s="5"/>
      <c r="P161" s="5"/>
      <c r="Q161" s="5"/>
      <c r="R161" s="5"/>
      <c r="S161" s="5"/>
      <c r="T161" s="5"/>
    </row>
    <row r="162" spans="1:20">
      <c r="A162" s="5"/>
      <c r="B162" s="5"/>
      <c r="C162" s="5"/>
      <c r="D162" s="5"/>
      <c r="E162" s="5"/>
      <c r="F162" s="5"/>
      <c r="G162" s="5"/>
      <c r="H162" s="5"/>
      <c r="I162" s="5"/>
      <c r="J162" s="5"/>
      <c r="K162" s="5"/>
      <c r="L162" s="5"/>
      <c r="M162" s="5"/>
      <c r="N162" s="5"/>
      <c r="O162" s="5"/>
      <c r="P162" s="5"/>
      <c r="Q162" s="5"/>
      <c r="R162" s="5"/>
      <c r="S162" s="5"/>
      <c r="T162" s="5"/>
    </row>
    <row r="163" spans="1:20">
      <c r="A163" s="5"/>
      <c r="B163" s="5"/>
      <c r="C163" s="5"/>
      <c r="D163" s="5"/>
      <c r="E163" s="5"/>
      <c r="F163" s="5"/>
      <c r="G163" s="5"/>
      <c r="H163" s="5"/>
      <c r="I163" s="5"/>
      <c r="J163" s="5"/>
      <c r="K163" s="5"/>
      <c r="L163" s="5"/>
      <c r="M163" s="5"/>
      <c r="N163" s="5"/>
      <c r="O163" s="5"/>
      <c r="P163" s="5"/>
      <c r="Q163" s="5"/>
      <c r="R163" s="5"/>
      <c r="S163" s="5"/>
      <c r="T163" s="5"/>
    </row>
    <row r="164" spans="1:20">
      <c r="A164" s="5"/>
      <c r="B164" s="5"/>
      <c r="C164" s="5"/>
      <c r="D164" s="5"/>
      <c r="E164" s="5"/>
      <c r="F164" s="5"/>
      <c r="G164" s="5"/>
      <c r="H164" s="5"/>
      <c r="I164" s="5"/>
      <c r="J164" s="5"/>
      <c r="K164" s="5"/>
      <c r="L164" s="5"/>
      <c r="M164" s="5"/>
      <c r="N164" s="5"/>
      <c r="O164" s="5"/>
      <c r="P164" s="5"/>
      <c r="Q164" s="5"/>
      <c r="R164" s="5"/>
      <c r="S164" s="5"/>
      <c r="T164" s="5"/>
    </row>
    <row r="165" spans="1:20">
      <c r="A165" s="5"/>
      <c r="B165" s="5"/>
      <c r="C165" s="5"/>
      <c r="D165" s="5"/>
      <c r="E165" s="5"/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</row>
    <row r="166" spans="1:20">
      <c r="A166" s="5"/>
      <c r="B166" s="5"/>
      <c r="C166" s="5"/>
      <c r="D166" s="5"/>
      <c r="E166" s="5"/>
      <c r="F166" s="5"/>
      <c r="G166" s="5"/>
      <c r="H166" s="5"/>
      <c r="I166" s="5"/>
      <c r="J166" s="5"/>
      <c r="K166" s="5"/>
      <c r="L166" s="5"/>
      <c r="M166" s="5"/>
      <c r="N166" s="5"/>
      <c r="O166" s="5"/>
      <c r="P166" s="5"/>
      <c r="Q166" s="5"/>
      <c r="R166" s="5"/>
      <c r="S166" s="5"/>
      <c r="T166" s="5"/>
    </row>
    <row r="167" spans="1:20">
      <c r="A167" s="5"/>
      <c r="B167" s="5"/>
      <c r="C167" s="5"/>
      <c r="D167" s="5"/>
      <c r="E167" s="5"/>
      <c r="F167" s="5"/>
      <c r="G167" s="5"/>
      <c r="H167" s="5"/>
      <c r="I167" s="5"/>
      <c r="J167" s="5"/>
      <c r="K167" s="5"/>
      <c r="L167" s="5"/>
      <c r="M167" s="5"/>
      <c r="N167" s="5"/>
      <c r="O167" s="5"/>
      <c r="P167" s="5"/>
      <c r="Q167" s="5"/>
      <c r="R167" s="5"/>
      <c r="S167" s="5"/>
      <c r="T167" s="5"/>
    </row>
    <row r="168" spans="1:20">
      <c r="A168" s="5"/>
      <c r="B168" s="5"/>
      <c r="C168" s="5"/>
      <c r="D168" s="5"/>
      <c r="E168" s="5"/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</row>
    <row r="169" spans="1:20">
      <c r="A169" s="5"/>
      <c r="B169" s="5"/>
      <c r="C169" s="5"/>
      <c r="D169" s="5"/>
      <c r="E169" s="5"/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</row>
    <row r="170" spans="1:20">
      <c r="A170" s="5"/>
      <c r="B170" s="5"/>
      <c r="C170" s="5"/>
      <c r="D170" s="5"/>
      <c r="E170" s="5"/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</row>
    <row r="171" spans="1:20">
      <c r="A171" s="5"/>
      <c r="B171" s="5"/>
      <c r="C171" s="5"/>
      <c r="D171" s="5"/>
      <c r="E171" s="5"/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</row>
    <row r="172" spans="1:20">
      <c r="A172" s="5"/>
      <c r="B172" s="5"/>
      <c r="C172" s="5"/>
      <c r="D172" s="5"/>
      <c r="E172" s="5"/>
      <c r="F172" s="5"/>
      <c r="G172" s="5"/>
      <c r="H172" s="5"/>
      <c r="I172" s="5"/>
      <c r="J172" s="5"/>
      <c r="K172" s="5"/>
      <c r="L172" s="5"/>
      <c r="M172" s="5"/>
      <c r="N172" s="5"/>
      <c r="O172" s="5"/>
      <c r="P172" s="5"/>
      <c r="Q172" s="5"/>
      <c r="R172" s="5"/>
      <c r="S172" s="5"/>
      <c r="T172" s="5"/>
    </row>
    <row r="173" spans="1:20">
      <c r="A173" s="5"/>
      <c r="B173" s="5"/>
      <c r="C173" s="5"/>
      <c r="D173" s="5"/>
      <c r="E173" s="5"/>
      <c r="F173" s="5"/>
      <c r="G173" s="5"/>
      <c r="H173" s="5"/>
      <c r="I173" s="5"/>
      <c r="J173" s="5"/>
      <c r="K173" s="5"/>
      <c r="L173" s="5"/>
      <c r="M173" s="5"/>
      <c r="N173" s="5"/>
      <c r="O173" s="5"/>
      <c r="P173" s="5"/>
      <c r="Q173" s="5"/>
      <c r="R173" s="5"/>
      <c r="S173" s="5"/>
      <c r="T173" s="5"/>
    </row>
    <row r="174" spans="1:20">
      <c r="A174" s="5"/>
      <c r="B174" s="5"/>
      <c r="C174" s="5"/>
      <c r="D174" s="5"/>
      <c r="E174" s="5"/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</row>
    <row r="175" spans="1:20">
      <c r="A175" s="5"/>
      <c r="B175" s="5"/>
      <c r="C175" s="5"/>
      <c r="D175" s="5"/>
      <c r="E175" s="5"/>
      <c r="F175" s="5"/>
      <c r="G175" s="5"/>
      <c r="H175" s="5"/>
      <c r="I175" s="5"/>
      <c r="J175" s="5"/>
      <c r="K175" s="5"/>
      <c r="L175" s="5"/>
      <c r="M175" s="5"/>
      <c r="N175" s="5"/>
      <c r="O175" s="5"/>
      <c r="P175" s="5"/>
      <c r="Q175" s="5"/>
      <c r="R175" s="5"/>
      <c r="S175" s="5"/>
      <c r="T175" s="5"/>
    </row>
    <row r="176" spans="1:20">
      <c r="A176" s="5"/>
      <c r="B176" s="5"/>
      <c r="C176" s="5"/>
      <c r="D176" s="5"/>
      <c r="E176" s="5"/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</row>
    <row r="177" spans="1:20">
      <c r="A177" s="5"/>
      <c r="B177" s="5"/>
      <c r="C177" s="5"/>
      <c r="D177" s="5"/>
      <c r="E177" s="5"/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</row>
    <row r="178" spans="1:20">
      <c r="A178" s="5"/>
      <c r="B178" s="5"/>
      <c r="C178" s="5"/>
      <c r="D178" s="5"/>
      <c r="E178" s="5"/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</row>
    <row r="179" spans="1:20">
      <c r="A179" s="5"/>
      <c r="B179" s="5"/>
      <c r="C179" s="5"/>
      <c r="D179" s="5"/>
      <c r="E179" s="5"/>
      <c r="F179" s="5"/>
      <c r="G179" s="5"/>
      <c r="H179" s="5"/>
      <c r="I179" s="5"/>
      <c r="J179" s="5"/>
      <c r="K179" s="5"/>
      <c r="L179" s="5"/>
      <c r="M179" s="5"/>
      <c r="N179" s="5"/>
      <c r="O179" s="5"/>
      <c r="P179" s="5"/>
      <c r="Q179" s="5"/>
      <c r="R179" s="5"/>
      <c r="S179" s="5"/>
      <c r="T179" s="5"/>
    </row>
    <row r="180" spans="1:20">
      <c r="A180" s="5"/>
      <c r="B180" s="5"/>
      <c r="C180" s="5"/>
      <c r="D180" s="5"/>
      <c r="E180" s="5"/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</row>
    <row r="181" spans="1:20">
      <c r="A181" s="5"/>
      <c r="B181" s="5"/>
      <c r="C181" s="5"/>
      <c r="D181" s="5"/>
      <c r="E181" s="5"/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</row>
    <row r="182" spans="1:20">
      <c r="A182" s="5"/>
      <c r="B182" s="5"/>
      <c r="C182" s="5"/>
      <c r="D182" s="5"/>
      <c r="E182" s="5"/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</row>
    <row r="183" spans="1:20">
      <c r="A183" s="5"/>
      <c r="B183" s="5"/>
      <c r="C183" s="5"/>
      <c r="D183" s="5"/>
      <c r="E183" s="5"/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</row>
    <row r="184" spans="1:20">
      <c r="A184" s="5"/>
      <c r="B184" s="5"/>
      <c r="C184" s="5"/>
      <c r="D184" s="5"/>
      <c r="E184" s="5"/>
      <c r="F184" s="5"/>
      <c r="G184" s="5"/>
      <c r="H184" s="5"/>
      <c r="I184" s="5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</row>
    <row r="185" spans="1:20">
      <c r="A185" s="5"/>
      <c r="B185" s="5"/>
      <c r="C185" s="5"/>
      <c r="D185" s="5"/>
      <c r="E185" s="5"/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</row>
    <row r="186" spans="1:20">
      <c r="A186" s="5"/>
      <c r="B186" s="5"/>
      <c r="C186" s="5"/>
      <c r="D186" s="5"/>
      <c r="E186" s="5"/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</row>
    <row r="187" spans="1:20">
      <c r="A187" s="5"/>
      <c r="B187" s="5"/>
      <c r="C187" s="5"/>
      <c r="D187" s="5"/>
      <c r="E187" s="5"/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</row>
    <row r="188" spans="1:20">
      <c r="A188" s="5"/>
      <c r="B188" s="5"/>
      <c r="C188" s="5"/>
      <c r="D188" s="5"/>
      <c r="E188" s="5"/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</row>
    <row r="189" spans="1:20">
      <c r="A189" s="5"/>
      <c r="B189" s="5"/>
      <c r="C189" s="5"/>
      <c r="D189" s="5"/>
      <c r="E189" s="5"/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</row>
    <row r="190" spans="1:20">
      <c r="A190" s="5"/>
      <c r="B190" s="5"/>
      <c r="C190" s="5"/>
      <c r="D190" s="5"/>
      <c r="E190" s="5"/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</row>
    <row r="191" spans="1:20">
      <c r="A191" s="5"/>
      <c r="B191" s="5"/>
      <c r="C191" s="5"/>
      <c r="D191" s="5"/>
      <c r="E191" s="5"/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</row>
    <row r="192" spans="1:20">
      <c r="A192" s="5"/>
      <c r="B192" s="5"/>
      <c r="C192" s="5"/>
      <c r="D192" s="5"/>
      <c r="E192" s="5"/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</row>
    <row r="193" spans="1:20">
      <c r="A193" s="5"/>
      <c r="B193" s="5"/>
      <c r="C193" s="5"/>
      <c r="D193" s="5"/>
      <c r="E193" s="5"/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</row>
    <row r="194" spans="1:20">
      <c r="A194" s="5"/>
      <c r="B194" s="5"/>
      <c r="C194" s="5"/>
      <c r="D194" s="5"/>
      <c r="E194" s="5"/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</row>
    <row r="195" spans="1:20">
      <c r="A195" s="5"/>
      <c r="B195" s="5"/>
      <c r="C195" s="5"/>
      <c r="D195" s="5"/>
      <c r="E195" s="5"/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</row>
    <row r="196" spans="1:20">
      <c r="A196" s="5"/>
      <c r="B196" s="5"/>
      <c r="C196" s="5"/>
      <c r="D196" s="5"/>
      <c r="E196" s="5"/>
      <c r="F196" s="5"/>
      <c r="G196" s="5"/>
      <c r="H196" s="5"/>
      <c r="I196" s="5"/>
      <c r="J196" s="5"/>
      <c r="K196" s="5"/>
      <c r="L196" s="5"/>
      <c r="M196" s="5"/>
      <c r="N196" s="5"/>
      <c r="O196" s="5"/>
      <c r="P196" s="5"/>
      <c r="Q196" s="5"/>
      <c r="R196" s="5"/>
      <c r="S196" s="5"/>
      <c r="T196" s="5"/>
    </row>
    <row r="197" spans="1:20">
      <c r="A197" s="5"/>
      <c r="B197" s="5"/>
      <c r="C197" s="5"/>
      <c r="D197" s="5"/>
      <c r="E197" s="5"/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</row>
    <row r="198" spans="1:20">
      <c r="A198" s="5"/>
      <c r="B198" s="5"/>
      <c r="C198" s="5"/>
      <c r="D198" s="5"/>
      <c r="E198" s="5"/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</row>
    <row r="199" spans="1:20">
      <c r="A199" s="5"/>
      <c r="B199" s="5"/>
      <c r="C199" s="5"/>
      <c r="D199" s="5"/>
      <c r="E199" s="5"/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</row>
  </sheetData>
  <sheetProtection algorithmName="SHA-512" hashValue="2lwsdoCbCOwZzJo4hiM7XBXQTIc9UNvRAPmuOhwqr7agBoErJHUmo+qV8OIRuB0IMEkaGUKRTESBFLf8QBvEjg==" saltValue="oJv7m/cPa3MT8Z7sakp0bA==" spinCount="100000" sheet="1" formatCells="0" formatColumns="0" formatRows="0" insertColumns="0" insertRows="0" insertHyperlinks="0" deleteColumns="0" deleteRows="0" sort="0" autoFilter="0" pivotTables="0"/>
  <mergeCells count="7">
    <mergeCell ref="J7:S13"/>
    <mergeCell ref="B6:B8"/>
    <mergeCell ref="C6:F6"/>
    <mergeCell ref="G6:H6"/>
    <mergeCell ref="C7:H7"/>
    <mergeCell ref="C8:E8"/>
    <mergeCell ref="F8:H8"/>
  </mergeCells>
  <conditionalFormatting sqref="C10:H13">
    <cfRule type="cellIs" dxfId="13" priority="17" operator="lessThan">
      <formula>0</formula>
    </cfRule>
    <cfRule type="cellIs" dxfId="12" priority="20" operator="lessThanOrEqual">
      <formula>0</formula>
    </cfRule>
  </conditionalFormatting>
  <conditionalFormatting sqref="C13:H13">
    <cfRule type="cellIs" dxfId="11" priority="19" operator="greaterThan">
      <formula>0</formula>
    </cfRule>
  </conditionalFormatting>
  <conditionalFormatting sqref="C10:H11">
    <cfRule type="cellIs" dxfId="10" priority="18" operator="greaterThan">
      <formula>0</formula>
    </cfRule>
  </conditionalFormatting>
  <conditionalFormatting sqref="C14:H14">
    <cfRule type="cellIs" dxfId="9" priority="15" operator="greaterThan">
      <formula>0</formula>
    </cfRule>
    <cfRule type="cellIs" dxfId="8" priority="16" operator="equal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LimpiarDatos">
                <anchor moveWithCells="1" sizeWithCells="1">
                  <from>
                    <xdr:col>5</xdr:col>
                    <xdr:colOff>257175</xdr:colOff>
                    <xdr:row>15</xdr:row>
                    <xdr:rowOff>47625</xdr:rowOff>
                  </from>
                  <to>
                    <xdr:col>7</xdr:col>
                    <xdr:colOff>438150</xdr:colOff>
                    <xdr:row>17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GuardarDatos">
                <anchor moveWithCells="1" sizeWithCells="1">
                  <from>
                    <xdr:col>8</xdr:col>
                    <xdr:colOff>28575</xdr:colOff>
                    <xdr:row>15</xdr:row>
                    <xdr:rowOff>57150</xdr:rowOff>
                  </from>
                  <to>
                    <xdr:col>10</xdr:col>
                    <xdr:colOff>295275</xdr:colOff>
                    <xdr:row>17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30" operator="equal" id="{FDA5F11D-9EDF-4EEA-A45C-0B39E984108D}">
            <xm:f>Parametros!$B$4</xm:f>
            <x14:dxf>
              <fill>
                <patternFill>
                  <bgColor rgb="FFFFCC99"/>
                </patternFill>
              </fill>
            </x14:dxf>
          </x14:cfRule>
          <x14:cfRule type="cellIs" priority="31" operator="equal" id="{E79282F1-039A-4630-BA29-2E829F75BE25}">
            <xm:f>Parametros!$B$10</xm:f>
            <x14:dxf>
              <fill>
                <patternFill>
                  <bgColor rgb="FFFF6699"/>
                </patternFill>
              </fill>
            </x14:dxf>
          </x14:cfRule>
          <x14:cfRule type="cellIs" priority="32" operator="equal" id="{0E1B090C-EB38-48AD-A825-500BC1104ED4}">
            <xm:f>Parametros!$B$9</xm:f>
            <x14:dxf>
              <fill>
                <patternFill>
                  <bgColor rgb="FFFFFF99"/>
                </patternFill>
              </fill>
            </x14:dxf>
          </x14:cfRule>
          <x14:cfRule type="cellIs" priority="33" operator="equal" id="{0C8BC538-659B-49D7-B832-72CAE4386BDF}">
            <xm:f>Parametros!$B$8</xm:f>
            <x14:dxf>
              <fill>
                <patternFill>
                  <bgColor theme="8" tint="0.79998168889431442"/>
                </patternFill>
              </fill>
            </x14:dxf>
          </x14:cfRule>
          <x14:cfRule type="cellIs" priority="34" operator="equal" id="{9F0C1FD3-5441-49A8-82CC-123F2A1AC93D}">
            <xm:f>Parametros!$B$7</xm:f>
            <x14:dxf>
              <fill>
                <patternFill>
                  <bgColor theme="6" tint="0.59996337778862885"/>
                </patternFill>
              </fill>
            </x14:dxf>
          </x14:cfRule>
          <x14:cfRule type="cellIs" priority="35" operator="equal" id="{68F20E8B-05EF-49B3-825E-311250110C38}">
            <xm:f>Parametros!$B$6</xm:f>
            <x14:dxf>
              <fill>
                <patternFill>
                  <bgColor theme="7" tint="0.79998168889431442"/>
                </patternFill>
              </fill>
            </x14:dxf>
          </x14:cfRule>
          <x14:cfRule type="cellIs" priority="36" operator="equal" id="{BE8CEF5F-30ED-4FCF-8C36-55BD9CD9719F}">
            <xm:f>Parametros!$B$5</xm:f>
            <x14:dxf>
              <font>
                <color auto="1"/>
              </font>
              <fill>
                <patternFill>
                  <bgColor theme="3" tint="0.749961851863155"/>
                </patternFill>
              </fill>
            </x14:dxf>
          </x14:cfRule>
          <x14:cfRule type="cellIs" priority="37" operator="equal" id="{4D573A65-5270-4E69-9D68-479F1D07B8C2}">
            <xm:f>Parametros!$B$3</xm:f>
            <x14:dxf>
              <fill>
                <patternFill>
                  <bgColor theme="5" tint="0.79998168889431442"/>
                </patternFill>
              </fill>
            </x14:dxf>
          </x14:cfRule>
          <xm:sqref>C7:H7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Parametros!$B$3:$B$37</xm:f>
          </x14:formula1>
          <xm:sqref>C7:H7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tabColor theme="8"/>
  </sheetPr>
  <dimension ref="B1:K38"/>
  <sheetViews>
    <sheetView workbookViewId="0">
      <selection activeCell="J18" sqref="J18"/>
    </sheetView>
  </sheetViews>
  <sheetFormatPr baseColWidth="10" defaultRowHeight="14.25"/>
  <cols>
    <col min="2" max="2" width="20.375" bestFit="1" customWidth="1"/>
  </cols>
  <sheetData>
    <row r="1" spans="2:11" ht="16.5" thickTop="1" thickBot="1">
      <c r="C1" s="77" t="s">
        <v>57</v>
      </c>
      <c r="D1" s="77"/>
      <c r="E1" s="77"/>
      <c r="F1" s="77" t="s">
        <v>37</v>
      </c>
      <c r="G1" s="77"/>
      <c r="J1" s="78" t="s">
        <v>58</v>
      </c>
      <c r="K1" s="78"/>
    </row>
    <row r="2" spans="2:11" ht="16.5" thickTop="1" thickBot="1">
      <c r="B2" s="28" t="s">
        <v>18</v>
      </c>
      <c r="C2" s="29" t="s">
        <v>0</v>
      </c>
      <c r="D2" s="30" t="s">
        <v>1</v>
      </c>
      <c r="E2" s="30" t="s">
        <v>2</v>
      </c>
      <c r="F2" s="30" t="s">
        <v>3</v>
      </c>
      <c r="G2" s="30" t="s">
        <v>4</v>
      </c>
      <c r="J2" s="41" t="s">
        <v>59</v>
      </c>
      <c r="K2" s="41" t="s">
        <v>60</v>
      </c>
    </row>
    <row r="3" spans="2:11" ht="15.75" thickTop="1" thickBot="1">
      <c r="B3" s="27" t="s">
        <v>10</v>
      </c>
      <c r="C3" s="26">
        <v>24</v>
      </c>
      <c r="D3" s="1">
        <v>31</v>
      </c>
      <c r="E3" s="1">
        <v>1</v>
      </c>
      <c r="F3" s="1">
        <v>120</v>
      </c>
      <c r="G3" s="1">
        <v>100</v>
      </c>
      <c r="J3" s="42">
        <v>8.4799999999999997E-3</v>
      </c>
      <c r="K3" s="42">
        <v>1.9777400000000001</v>
      </c>
    </row>
    <row r="4" spans="2:11" ht="15.75" thickTop="1" thickBot="1">
      <c r="B4" s="27" t="s">
        <v>35</v>
      </c>
      <c r="C4" s="26">
        <v>24</v>
      </c>
      <c r="D4" s="1">
        <v>31</v>
      </c>
      <c r="E4" s="1">
        <v>1</v>
      </c>
      <c r="F4" s="1">
        <v>180</v>
      </c>
      <c r="G4" s="1">
        <v>100</v>
      </c>
    </row>
    <row r="5" spans="2:11" ht="15.75" thickTop="1" thickBot="1">
      <c r="B5" s="27" t="s">
        <v>27</v>
      </c>
      <c r="C5" s="26">
        <v>11</v>
      </c>
      <c r="D5" s="1">
        <v>11</v>
      </c>
      <c r="E5" s="1">
        <v>1</v>
      </c>
      <c r="F5" s="1">
        <v>140</v>
      </c>
      <c r="G5" s="1">
        <v>100</v>
      </c>
    </row>
    <row r="6" spans="2:11" ht="15.75" thickTop="1" thickBot="1">
      <c r="B6" s="27" t="s">
        <v>24</v>
      </c>
      <c r="C6" s="26">
        <v>24</v>
      </c>
      <c r="D6" s="1">
        <v>16</v>
      </c>
      <c r="E6" s="1">
        <v>1</v>
      </c>
      <c r="F6" s="1">
        <v>140</v>
      </c>
      <c r="G6" s="1">
        <v>100</v>
      </c>
    </row>
    <row r="7" spans="2:11" ht="15.75" thickTop="1" thickBot="1">
      <c r="B7" s="27" t="s">
        <v>12</v>
      </c>
      <c r="C7" s="26">
        <v>11</v>
      </c>
      <c r="D7" s="1">
        <v>11</v>
      </c>
      <c r="E7" s="1">
        <v>1</v>
      </c>
      <c r="F7" s="1">
        <v>140</v>
      </c>
      <c r="G7" s="1">
        <v>100</v>
      </c>
    </row>
    <row r="8" spans="2:11" ht="15.75" thickTop="1" thickBot="1">
      <c r="B8" s="27" t="s">
        <v>6</v>
      </c>
      <c r="C8" s="26">
        <v>24</v>
      </c>
      <c r="D8" s="1">
        <v>16</v>
      </c>
      <c r="E8" s="1">
        <v>1</v>
      </c>
      <c r="F8" s="1">
        <v>140</v>
      </c>
      <c r="G8" s="1">
        <v>100</v>
      </c>
    </row>
    <row r="9" spans="2:11" ht="15.75" thickTop="1" thickBot="1">
      <c r="B9" s="27" t="s">
        <v>46</v>
      </c>
      <c r="C9" s="26">
        <v>24</v>
      </c>
      <c r="D9" s="1">
        <v>16</v>
      </c>
      <c r="E9" s="1">
        <v>1</v>
      </c>
      <c r="F9" s="1">
        <v>140</v>
      </c>
      <c r="G9" s="1">
        <v>100</v>
      </c>
    </row>
    <row r="10" spans="2:11" ht="15.75" thickTop="1" thickBot="1">
      <c r="B10" s="27" t="s">
        <v>7</v>
      </c>
      <c r="C10" s="26">
        <v>24</v>
      </c>
      <c r="D10" s="1">
        <v>16</v>
      </c>
      <c r="E10" s="1">
        <v>1</v>
      </c>
      <c r="F10" s="1">
        <v>140</v>
      </c>
      <c r="G10" s="1">
        <v>100</v>
      </c>
    </row>
    <row r="11" spans="2:11" ht="15.75" thickTop="1" thickBot="1">
      <c r="B11" s="27" t="s">
        <v>26</v>
      </c>
      <c r="C11" s="26">
        <v>11</v>
      </c>
      <c r="D11" s="1">
        <v>11</v>
      </c>
      <c r="E11" s="1">
        <v>1</v>
      </c>
      <c r="F11" s="1">
        <v>140</v>
      </c>
      <c r="G11" s="1">
        <v>100</v>
      </c>
    </row>
    <row r="12" spans="2:11" ht="15.75" thickTop="1" thickBot="1">
      <c r="B12" s="27" t="s">
        <v>31</v>
      </c>
      <c r="C12" s="26">
        <v>24</v>
      </c>
      <c r="D12" s="1">
        <v>31</v>
      </c>
      <c r="E12" s="1">
        <v>1</v>
      </c>
      <c r="F12" s="1">
        <v>180</v>
      </c>
      <c r="G12" s="1">
        <v>100</v>
      </c>
    </row>
    <row r="13" spans="2:11" ht="15.75" thickTop="1" thickBot="1">
      <c r="B13" s="27" t="s">
        <v>53</v>
      </c>
      <c r="C13" s="26">
        <v>24</v>
      </c>
      <c r="D13" s="1">
        <v>31</v>
      </c>
      <c r="E13" s="1">
        <v>1</v>
      </c>
      <c r="F13" s="1">
        <v>180</v>
      </c>
      <c r="G13" s="1">
        <v>100</v>
      </c>
    </row>
    <row r="14" spans="2:11" ht="15.75" thickTop="1" thickBot="1">
      <c r="B14" s="27" t="s">
        <v>54</v>
      </c>
      <c r="C14" s="26">
        <v>24</v>
      </c>
      <c r="D14" s="1">
        <v>31</v>
      </c>
      <c r="E14" s="1">
        <v>1</v>
      </c>
      <c r="F14" s="1">
        <v>180</v>
      </c>
      <c r="G14" s="1">
        <v>100</v>
      </c>
    </row>
    <row r="15" spans="2:11" ht="15.75" thickTop="1" thickBot="1">
      <c r="B15" s="27" t="s">
        <v>33</v>
      </c>
      <c r="C15" s="26">
        <v>24</v>
      </c>
      <c r="D15" s="1">
        <v>31</v>
      </c>
      <c r="E15" s="1">
        <v>1</v>
      </c>
      <c r="F15" s="1">
        <v>120</v>
      </c>
      <c r="G15" s="1">
        <v>100</v>
      </c>
    </row>
    <row r="16" spans="2:11" ht="15.75" thickTop="1" thickBot="1">
      <c r="B16" s="27" t="s">
        <v>47</v>
      </c>
      <c r="C16" s="26">
        <v>24</v>
      </c>
      <c r="D16" s="1">
        <v>16</v>
      </c>
      <c r="E16" s="1">
        <v>1</v>
      </c>
      <c r="F16" s="1">
        <v>140</v>
      </c>
      <c r="G16" s="1">
        <v>100</v>
      </c>
    </row>
    <row r="17" spans="2:7" ht="15.75" thickTop="1" thickBot="1">
      <c r="B17" s="27" t="s">
        <v>55</v>
      </c>
      <c r="C17" s="26">
        <v>24</v>
      </c>
      <c r="D17" s="1">
        <v>31</v>
      </c>
      <c r="E17" s="1">
        <v>1</v>
      </c>
      <c r="F17" s="1">
        <v>180</v>
      </c>
      <c r="G17" s="1">
        <v>100</v>
      </c>
    </row>
    <row r="18" spans="2:7" ht="15.75" thickTop="1" thickBot="1">
      <c r="B18" s="27" t="s">
        <v>29</v>
      </c>
      <c r="C18" s="26">
        <v>18.600000000000001</v>
      </c>
      <c r="D18" s="1">
        <v>16</v>
      </c>
      <c r="E18" s="1">
        <v>1</v>
      </c>
      <c r="F18" s="1">
        <v>140</v>
      </c>
      <c r="G18" s="1">
        <v>100</v>
      </c>
    </row>
    <row r="19" spans="2:7" ht="15.75" thickTop="1" thickBot="1">
      <c r="B19" s="27" t="s">
        <v>23</v>
      </c>
      <c r="C19" s="26">
        <v>11</v>
      </c>
      <c r="D19" s="1">
        <v>11</v>
      </c>
      <c r="E19" s="1">
        <v>1</v>
      </c>
      <c r="F19" s="1">
        <v>140</v>
      </c>
      <c r="G19" s="1">
        <v>100</v>
      </c>
    </row>
    <row r="20" spans="2:7" ht="15.75" thickTop="1" thickBot="1">
      <c r="B20" s="27" t="s">
        <v>48</v>
      </c>
      <c r="C20" s="26">
        <v>24</v>
      </c>
      <c r="D20" s="1">
        <v>16</v>
      </c>
      <c r="E20" s="1">
        <v>1</v>
      </c>
      <c r="F20" s="1">
        <v>140</v>
      </c>
      <c r="G20" s="1">
        <v>100</v>
      </c>
    </row>
    <row r="21" spans="2:7" ht="15.75" thickTop="1" thickBot="1">
      <c r="B21" s="27" t="s">
        <v>49</v>
      </c>
      <c r="C21" s="26">
        <v>24</v>
      </c>
      <c r="D21" s="1">
        <v>16</v>
      </c>
      <c r="E21" s="1">
        <v>1</v>
      </c>
      <c r="F21" s="1">
        <v>140</v>
      </c>
      <c r="G21" s="1">
        <v>100</v>
      </c>
    </row>
    <row r="22" spans="2:7" ht="15.75" thickTop="1" thickBot="1">
      <c r="B22" s="27" t="s">
        <v>50</v>
      </c>
      <c r="C22" s="26">
        <v>11</v>
      </c>
      <c r="D22" s="1">
        <v>11</v>
      </c>
      <c r="E22" s="1">
        <v>1</v>
      </c>
      <c r="F22" s="1">
        <v>140</v>
      </c>
      <c r="G22" s="1">
        <v>100</v>
      </c>
    </row>
    <row r="23" spans="2:7" ht="15.75" thickTop="1" thickBot="1">
      <c r="B23" s="27" t="s">
        <v>42</v>
      </c>
      <c r="C23" s="26">
        <v>24</v>
      </c>
      <c r="D23" s="1">
        <v>16</v>
      </c>
      <c r="E23" s="1">
        <v>1</v>
      </c>
      <c r="F23" s="1">
        <v>140</v>
      </c>
      <c r="G23" s="1">
        <v>100</v>
      </c>
    </row>
    <row r="24" spans="2:7" ht="15.75" thickTop="1" thickBot="1">
      <c r="B24" s="27" t="s">
        <v>14</v>
      </c>
      <c r="C24" s="26">
        <v>4.2</v>
      </c>
      <c r="D24" s="1">
        <v>9.6</v>
      </c>
      <c r="E24" s="1">
        <v>1</v>
      </c>
      <c r="F24" s="1">
        <v>140</v>
      </c>
      <c r="G24" s="1">
        <v>100</v>
      </c>
    </row>
    <row r="25" spans="2:7" ht="15.75" thickTop="1" thickBot="1">
      <c r="B25" s="27" t="s">
        <v>25</v>
      </c>
      <c r="C25" s="26">
        <v>24</v>
      </c>
      <c r="D25" s="1">
        <v>16</v>
      </c>
      <c r="E25" s="1">
        <v>1</v>
      </c>
      <c r="F25" s="1">
        <v>140</v>
      </c>
      <c r="G25" s="1">
        <v>100</v>
      </c>
    </row>
    <row r="26" spans="2:7" ht="15.75" thickTop="1" thickBot="1">
      <c r="B26" s="27" t="s">
        <v>28</v>
      </c>
      <c r="C26" s="26">
        <v>11</v>
      </c>
      <c r="D26" s="1">
        <v>11</v>
      </c>
      <c r="E26" s="1">
        <v>1</v>
      </c>
      <c r="F26" s="1">
        <v>140</v>
      </c>
      <c r="G26" s="1">
        <v>100</v>
      </c>
    </row>
    <row r="27" spans="2:7" ht="15.75" thickTop="1" thickBot="1">
      <c r="B27" s="27" t="s">
        <v>44</v>
      </c>
      <c r="C27" s="26">
        <v>24</v>
      </c>
      <c r="D27" s="1">
        <v>16</v>
      </c>
      <c r="E27" s="1">
        <v>1</v>
      </c>
      <c r="F27" s="1">
        <v>140</v>
      </c>
      <c r="G27" s="1">
        <v>100</v>
      </c>
    </row>
    <row r="28" spans="2:7" ht="15.75" thickTop="1" thickBot="1">
      <c r="B28" s="27" t="s">
        <v>43</v>
      </c>
      <c r="C28" s="26">
        <v>24</v>
      </c>
      <c r="D28" s="1">
        <v>31</v>
      </c>
      <c r="E28" s="1">
        <v>1</v>
      </c>
      <c r="F28" s="1">
        <v>120</v>
      </c>
      <c r="G28" s="1">
        <v>100</v>
      </c>
    </row>
    <row r="29" spans="2:7" ht="15.75" thickTop="1" thickBot="1">
      <c r="B29" s="27" t="s">
        <v>17</v>
      </c>
      <c r="C29" s="26">
        <v>7</v>
      </c>
      <c r="D29" s="1">
        <v>8.5</v>
      </c>
      <c r="E29" s="1">
        <v>1</v>
      </c>
      <c r="F29" s="1">
        <v>140</v>
      </c>
      <c r="G29" s="1">
        <v>100</v>
      </c>
    </row>
    <row r="30" spans="2:7" ht="15.75" thickTop="1" thickBot="1">
      <c r="B30" s="27" t="s">
        <v>5</v>
      </c>
      <c r="C30" s="26">
        <v>18.600000000000001</v>
      </c>
      <c r="D30" s="1">
        <v>16</v>
      </c>
      <c r="E30" s="1">
        <v>1</v>
      </c>
      <c r="F30" s="1">
        <v>140</v>
      </c>
      <c r="G30" s="1">
        <v>100</v>
      </c>
    </row>
    <row r="31" spans="2:7" ht="15.75" thickTop="1" thickBot="1">
      <c r="B31" s="27" t="s">
        <v>34</v>
      </c>
      <c r="C31" s="26">
        <v>24</v>
      </c>
      <c r="D31" s="1">
        <v>31</v>
      </c>
      <c r="E31" s="1">
        <v>1</v>
      </c>
      <c r="F31" s="1">
        <v>180</v>
      </c>
      <c r="G31" s="1">
        <v>100</v>
      </c>
    </row>
    <row r="32" spans="2:7" ht="15.75" thickTop="1" thickBot="1">
      <c r="B32" s="27" t="s">
        <v>30</v>
      </c>
      <c r="C32" s="26">
        <v>18.600000000000001</v>
      </c>
      <c r="D32" s="1">
        <v>16</v>
      </c>
      <c r="E32" s="1">
        <v>1</v>
      </c>
      <c r="F32" s="1">
        <v>140</v>
      </c>
      <c r="G32" s="1">
        <v>100</v>
      </c>
    </row>
    <row r="33" spans="2:7" ht="15.75" thickTop="1" thickBot="1">
      <c r="B33" s="27" t="s">
        <v>32</v>
      </c>
      <c r="C33" s="26">
        <v>24</v>
      </c>
      <c r="D33" s="1">
        <v>31</v>
      </c>
      <c r="E33" s="1">
        <v>1</v>
      </c>
      <c r="F33" s="1">
        <v>120</v>
      </c>
      <c r="G33" s="1">
        <v>100</v>
      </c>
    </row>
    <row r="34" spans="2:7" ht="15.75" thickTop="1" thickBot="1">
      <c r="B34" s="27" t="s">
        <v>45</v>
      </c>
      <c r="C34" s="26">
        <v>24</v>
      </c>
      <c r="D34" s="1">
        <v>31</v>
      </c>
      <c r="E34" s="1">
        <v>1</v>
      </c>
      <c r="F34" s="1">
        <v>120</v>
      </c>
      <c r="G34" s="1">
        <v>100</v>
      </c>
    </row>
    <row r="35" spans="2:7" ht="15.75" thickTop="1" thickBot="1">
      <c r="B35" s="27" t="s">
        <v>38</v>
      </c>
      <c r="C35" s="26">
        <v>24</v>
      </c>
      <c r="D35" s="1">
        <v>16</v>
      </c>
      <c r="E35" s="1">
        <v>1</v>
      </c>
      <c r="F35" s="1">
        <v>140</v>
      </c>
      <c r="G35" s="1">
        <v>100</v>
      </c>
    </row>
    <row r="36" spans="2:7" ht="15.75" thickTop="1" thickBot="1">
      <c r="B36" s="27" t="s">
        <v>39</v>
      </c>
      <c r="C36" s="26">
        <v>7</v>
      </c>
      <c r="D36" s="1">
        <v>8.5</v>
      </c>
      <c r="E36" s="1">
        <v>1</v>
      </c>
      <c r="F36" s="1">
        <v>140</v>
      </c>
      <c r="G36" s="1">
        <v>100</v>
      </c>
    </row>
    <row r="37" spans="2:7" ht="15.75" thickTop="1" thickBot="1">
      <c r="B37" s="27" t="s">
        <v>51</v>
      </c>
      <c r="C37" s="26">
        <v>24</v>
      </c>
      <c r="D37" s="1">
        <v>31</v>
      </c>
      <c r="E37" s="1">
        <v>1</v>
      </c>
      <c r="F37" s="1">
        <v>180</v>
      </c>
      <c r="G37" s="1">
        <v>100</v>
      </c>
    </row>
    <row r="38" spans="2:7" ht="15" thickTop="1"/>
  </sheetData>
  <sheetProtection algorithmName="SHA-512" hashValue="qk2PdzRUJhBxdwI9AlQP7FMZNhfzfmZZWoyIzkbjJ45YCglBtiBRcBW357wpYm4dG0hJI+h/0SRx/IplS1M1Cg==" saltValue="Qi5w/NGWDExUAJGVy7YwdA==" spinCount="100000" sheet="1" objects="1" scenarios="1"/>
  <autoFilter ref="B2:G2">
    <sortState ref="B3:G37">
      <sortCondition ref="B2"/>
    </sortState>
  </autoFilter>
  <mergeCells count="3">
    <mergeCell ref="C1:E1"/>
    <mergeCell ref="F1:G1"/>
    <mergeCell ref="J1:K1"/>
  </mergeCell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theme="6" tint="0.59999389629810485"/>
  </sheetPr>
  <dimension ref="A1:Z114"/>
  <sheetViews>
    <sheetView tabSelected="1" topLeftCell="A88" zoomScaleNormal="100" zoomScaleSheetLayoutView="98" workbookViewId="0">
      <selection activeCell="D116" sqref="D116"/>
    </sheetView>
  </sheetViews>
  <sheetFormatPr baseColWidth="10" defaultRowHeight="14.25"/>
  <cols>
    <col min="1" max="1" width="10.375" style="1" bestFit="1" customWidth="1"/>
    <col min="2" max="2" width="21.875" style="1" bestFit="1" customWidth="1"/>
    <col min="3" max="3" width="8.875" style="38" bestFit="1" customWidth="1"/>
    <col min="4" max="4" width="22.625" style="1" customWidth="1"/>
    <col min="5" max="5" width="11" style="1" bestFit="1" customWidth="1"/>
    <col min="6" max="6" width="4" style="1" bestFit="1" customWidth="1"/>
    <col min="7" max="7" width="4.875" style="1" bestFit="1" customWidth="1"/>
    <col min="8" max="8" width="14.125" style="1" bestFit="1" customWidth="1"/>
    <col min="9" max="9" width="15.25" style="32" bestFit="1" customWidth="1"/>
    <col min="10" max="10" width="12.125" style="1" bestFit="1" customWidth="1"/>
    <col min="11" max="11" width="16.625" style="44" bestFit="1" customWidth="1"/>
    <col min="12" max="26" width="11.375" style="40"/>
  </cols>
  <sheetData>
    <row r="1" spans="1:11" ht="15">
      <c r="A1" s="25" t="s">
        <v>40</v>
      </c>
      <c r="B1" s="25" t="s">
        <v>18</v>
      </c>
      <c r="C1" s="39" t="s">
        <v>41</v>
      </c>
      <c r="D1" s="25" t="s">
        <v>19</v>
      </c>
      <c r="E1" s="25" t="s">
        <v>36</v>
      </c>
      <c r="F1" s="25" t="s">
        <v>20</v>
      </c>
      <c r="G1" s="25" t="s">
        <v>11</v>
      </c>
      <c r="H1" s="25" t="s">
        <v>21</v>
      </c>
      <c r="I1" s="25" t="s">
        <v>22</v>
      </c>
      <c r="J1" s="25" t="s">
        <v>16</v>
      </c>
      <c r="K1" s="43" t="s">
        <v>56</v>
      </c>
    </row>
    <row r="2" spans="1:11">
      <c r="A2" s="45">
        <v>45610</v>
      </c>
      <c r="B2" s="46" t="s">
        <v>30</v>
      </c>
      <c r="C2" s="47">
        <v>53</v>
      </c>
      <c r="D2" s="46" t="s">
        <v>4</v>
      </c>
      <c r="E2" s="46" t="s">
        <v>0</v>
      </c>
      <c r="F2" s="46">
        <v>60</v>
      </c>
      <c r="G2" s="46">
        <v>10</v>
      </c>
      <c r="H2" s="46">
        <v>3</v>
      </c>
      <c r="I2" s="48">
        <v>0</v>
      </c>
      <c r="J2" s="46">
        <v>1.77</v>
      </c>
      <c r="K2" s="49" t="s">
        <v>61</v>
      </c>
    </row>
    <row r="3" spans="1:11">
      <c r="A3" s="50">
        <v>45610</v>
      </c>
      <c r="B3" s="51" t="s">
        <v>28</v>
      </c>
      <c r="C3" s="52">
        <v>70</v>
      </c>
      <c r="D3" s="51" t="s">
        <v>4</v>
      </c>
      <c r="E3" s="51" t="s">
        <v>0</v>
      </c>
      <c r="F3" s="51">
        <v>55</v>
      </c>
      <c r="G3" s="51">
        <v>2.9</v>
      </c>
      <c r="H3" s="51">
        <v>3</v>
      </c>
      <c r="I3" s="53">
        <v>0</v>
      </c>
      <c r="J3" s="51">
        <v>0.36</v>
      </c>
      <c r="K3" s="54" t="s">
        <v>62</v>
      </c>
    </row>
    <row r="4" spans="1:11">
      <c r="A4" s="45">
        <v>45610</v>
      </c>
      <c r="B4" s="46" t="s">
        <v>28</v>
      </c>
      <c r="C4" s="47">
        <v>62</v>
      </c>
      <c r="D4" s="46" t="s">
        <v>4</v>
      </c>
      <c r="E4" s="46" t="s">
        <v>0</v>
      </c>
      <c r="F4" s="46">
        <v>55</v>
      </c>
      <c r="G4" s="46">
        <v>4.5</v>
      </c>
      <c r="H4" s="46">
        <v>1</v>
      </c>
      <c r="I4" s="48">
        <v>0</v>
      </c>
      <c r="J4" s="46">
        <v>0.19</v>
      </c>
      <c r="K4" s="49"/>
    </row>
    <row r="5" spans="1:11">
      <c r="A5" s="45">
        <v>45610</v>
      </c>
      <c r="B5" s="46" t="s">
        <v>28</v>
      </c>
      <c r="C5" s="47">
        <v>62</v>
      </c>
      <c r="D5" s="46" t="s">
        <v>4</v>
      </c>
      <c r="E5" s="46" t="s">
        <v>1</v>
      </c>
      <c r="F5" s="46">
        <v>55</v>
      </c>
      <c r="G5" s="46">
        <v>4.5</v>
      </c>
      <c r="H5" s="46">
        <v>1</v>
      </c>
      <c r="I5" s="48">
        <v>0</v>
      </c>
      <c r="J5" s="46">
        <v>0.19</v>
      </c>
      <c r="K5" s="49"/>
    </row>
    <row r="6" spans="1:11">
      <c r="A6" s="45">
        <v>45610</v>
      </c>
      <c r="B6" s="46" t="s">
        <v>28</v>
      </c>
      <c r="C6" s="47">
        <v>62</v>
      </c>
      <c r="D6" s="46" t="s">
        <v>4</v>
      </c>
      <c r="E6" s="46" t="s">
        <v>9</v>
      </c>
      <c r="F6" s="46">
        <v>55</v>
      </c>
      <c r="G6" s="46">
        <v>4.5</v>
      </c>
      <c r="H6" s="46">
        <v>1</v>
      </c>
      <c r="I6" s="48">
        <v>0</v>
      </c>
      <c r="J6" s="46">
        <v>0.15</v>
      </c>
      <c r="K6" s="49" t="s">
        <v>63</v>
      </c>
    </row>
    <row r="7" spans="1:11">
      <c r="A7" s="50">
        <v>45610</v>
      </c>
      <c r="B7" s="51" t="s">
        <v>51</v>
      </c>
      <c r="C7" s="52">
        <v>60</v>
      </c>
      <c r="D7" s="51" t="s">
        <v>3</v>
      </c>
      <c r="E7" s="51" t="s">
        <v>0</v>
      </c>
      <c r="F7" s="51">
        <v>100</v>
      </c>
      <c r="G7" s="51">
        <v>3.6</v>
      </c>
      <c r="H7" s="51">
        <v>1</v>
      </c>
      <c r="I7" s="53">
        <v>0</v>
      </c>
      <c r="J7" s="51">
        <v>0.16</v>
      </c>
      <c r="K7" s="54"/>
    </row>
    <row r="8" spans="1:11">
      <c r="A8" s="50">
        <v>45610</v>
      </c>
      <c r="B8" s="51" t="s">
        <v>51</v>
      </c>
      <c r="C8" s="52">
        <v>60</v>
      </c>
      <c r="D8" s="51" t="s">
        <v>3</v>
      </c>
      <c r="E8" s="51" t="s">
        <v>1</v>
      </c>
      <c r="F8" s="51">
        <v>105</v>
      </c>
      <c r="G8" s="51">
        <v>7.2</v>
      </c>
      <c r="H8" s="51">
        <v>1</v>
      </c>
      <c r="I8" s="53">
        <v>0</v>
      </c>
      <c r="J8" s="51">
        <v>0.38</v>
      </c>
      <c r="K8" s="54" t="s">
        <v>64</v>
      </c>
    </row>
    <row r="9" spans="1:11">
      <c r="A9" s="45">
        <v>45610</v>
      </c>
      <c r="B9" s="46" t="s">
        <v>51</v>
      </c>
      <c r="C9" s="47">
        <v>70</v>
      </c>
      <c r="D9" s="46" t="s">
        <v>4</v>
      </c>
      <c r="E9" s="46" t="s">
        <v>0</v>
      </c>
      <c r="F9" s="46">
        <v>90</v>
      </c>
      <c r="G9" s="46">
        <v>2</v>
      </c>
      <c r="H9" s="46">
        <v>1</v>
      </c>
      <c r="I9" s="48">
        <v>0</v>
      </c>
      <c r="J9" s="46">
        <v>0.3</v>
      </c>
      <c r="K9" s="49" t="s">
        <v>65</v>
      </c>
    </row>
    <row r="10" spans="1:11">
      <c r="A10" s="50">
        <v>45610</v>
      </c>
      <c r="B10" s="51" t="s">
        <v>53</v>
      </c>
      <c r="C10" s="52">
        <v>55</v>
      </c>
      <c r="D10" s="51" t="s">
        <v>3</v>
      </c>
      <c r="E10" s="51" t="s">
        <v>0</v>
      </c>
      <c r="F10" s="51">
        <v>70</v>
      </c>
      <c r="G10" s="51">
        <v>20</v>
      </c>
      <c r="H10" s="51">
        <v>1</v>
      </c>
      <c r="I10" s="53">
        <v>0</v>
      </c>
      <c r="J10" s="51">
        <v>0.43</v>
      </c>
      <c r="K10" s="54"/>
    </row>
    <row r="11" spans="1:11">
      <c r="A11" s="50">
        <v>45610</v>
      </c>
      <c r="B11" s="51" t="s">
        <v>53</v>
      </c>
      <c r="C11" s="52">
        <v>55</v>
      </c>
      <c r="D11" s="51" t="s">
        <v>3</v>
      </c>
      <c r="E11" s="51" t="s">
        <v>1</v>
      </c>
      <c r="F11" s="51">
        <v>72</v>
      </c>
      <c r="G11" s="51">
        <v>30</v>
      </c>
      <c r="H11" s="51">
        <v>1</v>
      </c>
      <c r="I11" s="53">
        <v>0</v>
      </c>
      <c r="J11" s="51">
        <v>0.76</v>
      </c>
      <c r="K11" s="54" t="s">
        <v>66</v>
      </c>
    </row>
    <row r="12" spans="1:11">
      <c r="A12" s="45">
        <v>45610</v>
      </c>
      <c r="B12" s="46" t="s">
        <v>31</v>
      </c>
      <c r="C12" s="47">
        <v>55</v>
      </c>
      <c r="D12" s="46" t="s">
        <v>3</v>
      </c>
      <c r="E12" s="46" t="s">
        <v>0</v>
      </c>
      <c r="F12" s="46">
        <v>70</v>
      </c>
      <c r="G12" s="46">
        <v>22</v>
      </c>
      <c r="H12" s="46">
        <v>1</v>
      </c>
      <c r="I12" s="48">
        <v>0</v>
      </c>
      <c r="J12" s="46">
        <v>0.48</v>
      </c>
      <c r="K12" s="49"/>
    </row>
    <row r="13" spans="1:11">
      <c r="A13" s="45">
        <v>45610</v>
      </c>
      <c r="B13" s="46" t="s">
        <v>31</v>
      </c>
      <c r="C13" s="47">
        <v>55</v>
      </c>
      <c r="D13" s="46" t="s">
        <v>3</v>
      </c>
      <c r="E13" s="46" t="s">
        <v>1</v>
      </c>
      <c r="F13" s="46">
        <v>72</v>
      </c>
      <c r="G13" s="46">
        <v>32</v>
      </c>
      <c r="H13" s="46">
        <v>1</v>
      </c>
      <c r="I13" s="48">
        <v>0</v>
      </c>
      <c r="J13" s="46">
        <v>0.81</v>
      </c>
      <c r="K13" s="49" t="s">
        <v>67</v>
      </c>
    </row>
    <row r="14" spans="1:11">
      <c r="A14" s="50">
        <v>45610</v>
      </c>
      <c r="B14" s="51" t="s">
        <v>51</v>
      </c>
      <c r="C14" s="52">
        <v>52</v>
      </c>
      <c r="D14" s="51" t="s">
        <v>3</v>
      </c>
      <c r="E14" s="51" t="s">
        <v>0</v>
      </c>
      <c r="F14" s="51">
        <v>107</v>
      </c>
      <c r="G14" s="51">
        <v>6.4</v>
      </c>
      <c r="H14" s="51">
        <v>1</v>
      </c>
      <c r="I14" s="53">
        <v>0</v>
      </c>
      <c r="J14" s="51">
        <v>0.32</v>
      </c>
      <c r="K14" s="54"/>
    </row>
    <row r="15" spans="1:11">
      <c r="A15" s="50">
        <v>45610</v>
      </c>
      <c r="B15" s="51" t="s">
        <v>51</v>
      </c>
      <c r="C15" s="52">
        <v>52</v>
      </c>
      <c r="D15" s="51" t="s">
        <v>3</v>
      </c>
      <c r="E15" s="51" t="s">
        <v>1</v>
      </c>
      <c r="F15" s="51">
        <v>110</v>
      </c>
      <c r="G15" s="51">
        <v>10</v>
      </c>
      <c r="H15" s="51">
        <v>1</v>
      </c>
      <c r="I15" s="53">
        <v>0</v>
      </c>
      <c r="J15" s="51">
        <v>0.57999999999999996</v>
      </c>
      <c r="K15" s="54" t="s">
        <v>68</v>
      </c>
    </row>
    <row r="16" spans="1:11">
      <c r="A16" s="45">
        <v>45611</v>
      </c>
      <c r="B16" s="46" t="s">
        <v>51</v>
      </c>
      <c r="C16" s="47">
        <v>0</v>
      </c>
      <c r="D16" s="46" t="s">
        <v>3</v>
      </c>
      <c r="E16" s="46" t="s">
        <v>0</v>
      </c>
      <c r="F16" s="46">
        <v>102</v>
      </c>
      <c r="G16" s="46">
        <v>3.6</v>
      </c>
      <c r="H16" s="46">
        <v>1</v>
      </c>
      <c r="I16" s="48">
        <v>0</v>
      </c>
      <c r="J16" s="46">
        <v>0.16</v>
      </c>
      <c r="K16" s="49"/>
    </row>
    <row r="17" spans="1:11">
      <c r="A17" s="45">
        <v>45611</v>
      </c>
      <c r="B17" s="46" t="s">
        <v>51</v>
      </c>
      <c r="C17" s="47">
        <v>0</v>
      </c>
      <c r="D17" s="46" t="s">
        <v>3</v>
      </c>
      <c r="E17" s="46" t="s">
        <v>1</v>
      </c>
      <c r="F17" s="46">
        <v>106</v>
      </c>
      <c r="G17" s="46">
        <v>6.4</v>
      </c>
      <c r="H17" s="46">
        <v>1</v>
      </c>
      <c r="I17" s="48">
        <v>0</v>
      </c>
      <c r="J17" s="46">
        <v>0.35</v>
      </c>
      <c r="K17" s="49" t="s">
        <v>69</v>
      </c>
    </row>
    <row r="18" spans="1:11">
      <c r="A18" s="50">
        <v>45611</v>
      </c>
      <c r="B18" s="51" t="s">
        <v>31</v>
      </c>
      <c r="C18" s="52">
        <v>0</v>
      </c>
      <c r="D18" s="51" t="s">
        <v>3</v>
      </c>
      <c r="E18" s="51" t="s">
        <v>0</v>
      </c>
      <c r="F18" s="51">
        <v>67</v>
      </c>
      <c r="G18" s="51">
        <v>32</v>
      </c>
      <c r="H18" s="51">
        <v>1</v>
      </c>
      <c r="I18" s="53">
        <v>0</v>
      </c>
      <c r="J18" s="51">
        <v>0.64</v>
      </c>
      <c r="K18" s="54"/>
    </row>
    <row r="19" spans="1:11">
      <c r="A19" s="50">
        <v>45611</v>
      </c>
      <c r="B19" s="51" t="s">
        <v>31</v>
      </c>
      <c r="C19" s="52">
        <v>0</v>
      </c>
      <c r="D19" s="51" t="s">
        <v>3</v>
      </c>
      <c r="E19" s="51" t="s">
        <v>1</v>
      </c>
      <c r="F19" s="51">
        <v>74</v>
      </c>
      <c r="G19" s="51">
        <v>56</v>
      </c>
      <c r="H19" s="51">
        <v>1</v>
      </c>
      <c r="I19" s="53">
        <v>0</v>
      </c>
      <c r="J19" s="51">
        <v>1.49</v>
      </c>
      <c r="K19" s="54" t="s">
        <v>70</v>
      </c>
    </row>
    <row r="20" spans="1:11">
      <c r="A20" s="45">
        <v>45611</v>
      </c>
      <c r="B20" s="46" t="s">
        <v>43</v>
      </c>
      <c r="C20" s="47">
        <v>0</v>
      </c>
      <c r="D20" s="46" t="s">
        <v>3</v>
      </c>
      <c r="E20" s="46" t="s">
        <v>0</v>
      </c>
      <c r="F20" s="46">
        <v>62</v>
      </c>
      <c r="G20" s="46">
        <v>36</v>
      </c>
      <c r="H20" s="46">
        <v>1</v>
      </c>
      <c r="I20" s="48">
        <v>0</v>
      </c>
      <c r="J20" s="46">
        <v>1.63</v>
      </c>
      <c r="K20" s="49"/>
    </row>
    <row r="21" spans="1:11">
      <c r="A21" s="45">
        <v>45611</v>
      </c>
      <c r="B21" s="46" t="s">
        <v>43</v>
      </c>
      <c r="C21" s="47">
        <v>0</v>
      </c>
      <c r="D21" s="46" t="s">
        <v>3</v>
      </c>
      <c r="E21" s="46" t="s">
        <v>1</v>
      </c>
      <c r="F21" s="46">
        <v>62</v>
      </c>
      <c r="G21" s="46">
        <v>36</v>
      </c>
      <c r="H21" s="46">
        <v>2</v>
      </c>
      <c r="I21" s="48">
        <v>0</v>
      </c>
      <c r="J21" s="46">
        <v>3.78</v>
      </c>
      <c r="K21" s="49" t="s">
        <v>71</v>
      </c>
    </row>
    <row r="22" spans="1:11">
      <c r="A22" s="50">
        <v>45611</v>
      </c>
      <c r="B22" s="51" t="s">
        <v>43</v>
      </c>
      <c r="C22" s="52">
        <v>0</v>
      </c>
      <c r="D22" s="51" t="s">
        <v>3</v>
      </c>
      <c r="E22" s="51" t="s">
        <v>0</v>
      </c>
      <c r="F22" s="51">
        <v>62</v>
      </c>
      <c r="G22" s="51">
        <v>36</v>
      </c>
      <c r="H22" s="51">
        <v>1</v>
      </c>
      <c r="I22" s="53">
        <v>0</v>
      </c>
      <c r="J22" s="51">
        <v>1.63</v>
      </c>
      <c r="K22" s="54"/>
    </row>
    <row r="23" spans="1:11">
      <c r="A23" s="50">
        <v>45611</v>
      </c>
      <c r="B23" s="51" t="s">
        <v>43</v>
      </c>
      <c r="C23" s="52">
        <v>0</v>
      </c>
      <c r="D23" s="51" t="s">
        <v>3</v>
      </c>
      <c r="E23" s="51" t="s">
        <v>1</v>
      </c>
      <c r="F23" s="51">
        <v>62</v>
      </c>
      <c r="G23" s="51">
        <v>36</v>
      </c>
      <c r="H23" s="51">
        <v>2</v>
      </c>
      <c r="I23" s="53">
        <v>0</v>
      </c>
      <c r="J23" s="51">
        <v>3.78</v>
      </c>
      <c r="K23" s="54" t="s">
        <v>71</v>
      </c>
    </row>
    <row r="24" spans="1:11">
      <c r="A24" s="45">
        <v>45611</v>
      </c>
      <c r="B24" s="46" t="s">
        <v>17</v>
      </c>
      <c r="C24" s="47">
        <v>0</v>
      </c>
      <c r="D24" s="46" t="s">
        <v>4</v>
      </c>
      <c r="E24" s="46" t="s">
        <v>0</v>
      </c>
      <c r="F24" s="46">
        <v>57</v>
      </c>
      <c r="G24" s="46">
        <v>6.4</v>
      </c>
      <c r="H24" s="46">
        <v>1</v>
      </c>
      <c r="I24" s="48">
        <v>0</v>
      </c>
      <c r="J24" s="46">
        <v>0.26</v>
      </c>
      <c r="K24" s="49"/>
    </row>
    <row r="25" spans="1:11">
      <c r="A25" s="45">
        <v>45611</v>
      </c>
      <c r="B25" s="46" t="s">
        <v>17</v>
      </c>
      <c r="C25" s="47">
        <v>0</v>
      </c>
      <c r="D25" s="46" t="s">
        <v>4</v>
      </c>
      <c r="E25" s="46" t="s">
        <v>1</v>
      </c>
      <c r="F25" s="46">
        <v>57</v>
      </c>
      <c r="G25" s="46">
        <v>3.6</v>
      </c>
      <c r="H25" s="46">
        <v>2</v>
      </c>
      <c r="I25" s="48">
        <v>0</v>
      </c>
      <c r="J25" s="46">
        <v>0.3</v>
      </c>
      <c r="K25" s="49"/>
    </row>
    <row r="26" spans="1:11">
      <c r="A26" s="45">
        <v>45611</v>
      </c>
      <c r="B26" s="46" t="s">
        <v>17</v>
      </c>
      <c r="C26" s="47">
        <v>0</v>
      </c>
      <c r="D26" s="46" t="s">
        <v>4</v>
      </c>
      <c r="E26" s="46" t="s">
        <v>9</v>
      </c>
      <c r="F26" s="46">
        <v>57</v>
      </c>
      <c r="G26" s="46">
        <v>3.4</v>
      </c>
      <c r="H26" s="46">
        <v>2</v>
      </c>
      <c r="I26" s="48">
        <v>0</v>
      </c>
      <c r="J26" s="46">
        <v>0.24</v>
      </c>
      <c r="K26" s="49" t="s">
        <v>72</v>
      </c>
    </row>
    <row r="27" spans="1:11">
      <c r="A27" s="50">
        <v>45611</v>
      </c>
      <c r="B27" s="51" t="s">
        <v>17</v>
      </c>
      <c r="C27" s="52">
        <v>0</v>
      </c>
      <c r="D27" s="51" t="s">
        <v>4</v>
      </c>
      <c r="E27" s="51" t="s">
        <v>0</v>
      </c>
      <c r="F27" s="51">
        <v>57</v>
      </c>
      <c r="G27" s="51">
        <v>6.4</v>
      </c>
      <c r="H27" s="51">
        <v>1</v>
      </c>
      <c r="I27" s="53">
        <v>0</v>
      </c>
      <c r="J27" s="51">
        <v>0.26</v>
      </c>
      <c r="K27" s="54"/>
    </row>
    <row r="28" spans="1:11">
      <c r="A28" s="50">
        <v>45611</v>
      </c>
      <c r="B28" s="51" t="s">
        <v>17</v>
      </c>
      <c r="C28" s="52">
        <v>0</v>
      </c>
      <c r="D28" s="51" t="s">
        <v>4</v>
      </c>
      <c r="E28" s="51" t="s">
        <v>1</v>
      </c>
      <c r="F28" s="51">
        <v>57</v>
      </c>
      <c r="G28" s="51">
        <v>3.6</v>
      </c>
      <c r="H28" s="51">
        <v>2</v>
      </c>
      <c r="I28" s="53">
        <v>0</v>
      </c>
      <c r="J28" s="51">
        <v>0.3</v>
      </c>
      <c r="K28" s="54"/>
    </row>
    <row r="29" spans="1:11">
      <c r="A29" s="50">
        <v>45611</v>
      </c>
      <c r="B29" s="51" t="s">
        <v>17</v>
      </c>
      <c r="C29" s="52">
        <v>0</v>
      </c>
      <c r="D29" s="51" t="s">
        <v>4</v>
      </c>
      <c r="E29" s="51" t="s">
        <v>9</v>
      </c>
      <c r="F29" s="51">
        <v>57</v>
      </c>
      <c r="G29" s="51">
        <v>3.4</v>
      </c>
      <c r="H29" s="51">
        <v>2</v>
      </c>
      <c r="I29" s="53">
        <v>0</v>
      </c>
      <c r="J29" s="51">
        <v>0.24</v>
      </c>
      <c r="K29" s="54" t="s">
        <v>72</v>
      </c>
    </row>
    <row r="30" spans="1:11">
      <c r="A30" s="45">
        <v>45611</v>
      </c>
      <c r="B30" s="46" t="s">
        <v>14</v>
      </c>
      <c r="C30" s="47">
        <v>0</v>
      </c>
      <c r="D30" s="46" t="s">
        <v>4</v>
      </c>
      <c r="E30" s="46" t="s">
        <v>0</v>
      </c>
      <c r="F30" s="46">
        <v>47</v>
      </c>
      <c r="G30" s="46">
        <v>1.8</v>
      </c>
      <c r="H30" s="46">
        <v>1</v>
      </c>
      <c r="I30" s="48">
        <v>0</v>
      </c>
      <c r="J30" s="46">
        <v>0.05</v>
      </c>
      <c r="K30" s="49"/>
    </row>
    <row r="31" spans="1:11">
      <c r="A31" s="45">
        <v>45611</v>
      </c>
      <c r="B31" s="46" t="s">
        <v>14</v>
      </c>
      <c r="C31" s="47">
        <v>0</v>
      </c>
      <c r="D31" s="46" t="s">
        <v>4</v>
      </c>
      <c r="E31" s="46" t="s">
        <v>1</v>
      </c>
      <c r="F31" s="46">
        <v>47</v>
      </c>
      <c r="G31" s="46">
        <v>1.8</v>
      </c>
      <c r="H31" s="46">
        <v>1</v>
      </c>
      <c r="I31" s="48">
        <v>0</v>
      </c>
      <c r="J31" s="46">
        <v>0.05</v>
      </c>
      <c r="K31" s="49"/>
    </row>
    <row r="32" spans="1:11">
      <c r="A32" s="45">
        <v>45611</v>
      </c>
      <c r="B32" s="46" t="s">
        <v>14</v>
      </c>
      <c r="C32" s="47">
        <v>0</v>
      </c>
      <c r="D32" s="46" t="s">
        <v>4</v>
      </c>
      <c r="E32" s="46" t="s">
        <v>9</v>
      </c>
      <c r="F32" s="46">
        <v>47</v>
      </c>
      <c r="G32" s="46">
        <v>3.6</v>
      </c>
      <c r="H32" s="46">
        <v>1</v>
      </c>
      <c r="I32" s="48">
        <v>0</v>
      </c>
      <c r="J32" s="46">
        <v>0.09</v>
      </c>
      <c r="K32" s="49" t="s">
        <v>73</v>
      </c>
    </row>
    <row r="33" spans="1:11">
      <c r="A33" s="50">
        <v>45611</v>
      </c>
      <c r="B33" s="51" t="s">
        <v>14</v>
      </c>
      <c r="C33" s="52">
        <v>0</v>
      </c>
      <c r="D33" s="51" t="s">
        <v>4</v>
      </c>
      <c r="E33" s="51" t="s">
        <v>0</v>
      </c>
      <c r="F33" s="51">
        <v>47</v>
      </c>
      <c r="G33" s="51">
        <v>1.8</v>
      </c>
      <c r="H33" s="51">
        <v>1</v>
      </c>
      <c r="I33" s="53">
        <v>0</v>
      </c>
      <c r="J33" s="51">
        <v>0.05</v>
      </c>
      <c r="K33" s="54"/>
    </row>
    <row r="34" spans="1:11">
      <c r="A34" s="50">
        <v>45611</v>
      </c>
      <c r="B34" s="51" t="s">
        <v>14</v>
      </c>
      <c r="C34" s="52">
        <v>0</v>
      </c>
      <c r="D34" s="51" t="s">
        <v>4</v>
      </c>
      <c r="E34" s="51" t="s">
        <v>1</v>
      </c>
      <c r="F34" s="51">
        <v>47</v>
      </c>
      <c r="G34" s="51">
        <v>1.8</v>
      </c>
      <c r="H34" s="51">
        <v>1</v>
      </c>
      <c r="I34" s="53">
        <v>0</v>
      </c>
      <c r="J34" s="51">
        <v>0.05</v>
      </c>
      <c r="K34" s="54"/>
    </row>
    <row r="35" spans="1:11">
      <c r="A35" s="50">
        <v>45611</v>
      </c>
      <c r="B35" s="51" t="s">
        <v>14</v>
      </c>
      <c r="C35" s="52">
        <v>0</v>
      </c>
      <c r="D35" s="51" t="s">
        <v>4</v>
      </c>
      <c r="E35" s="51" t="s">
        <v>9</v>
      </c>
      <c r="F35" s="51">
        <v>47</v>
      </c>
      <c r="G35" s="51">
        <v>1.8</v>
      </c>
      <c r="H35" s="51">
        <v>1</v>
      </c>
      <c r="I35" s="53">
        <v>0</v>
      </c>
      <c r="J35" s="51">
        <v>0.04</v>
      </c>
      <c r="K35" s="54" t="s">
        <v>74</v>
      </c>
    </row>
    <row r="36" spans="1:11">
      <c r="A36" s="45">
        <v>45611</v>
      </c>
      <c r="B36" s="46" t="s">
        <v>14</v>
      </c>
      <c r="C36" s="47">
        <v>0</v>
      </c>
      <c r="D36" s="46" t="s">
        <v>4</v>
      </c>
      <c r="E36" s="46" t="s">
        <v>0</v>
      </c>
      <c r="F36" s="46">
        <v>52</v>
      </c>
      <c r="G36" s="46">
        <v>3.2</v>
      </c>
      <c r="H36" s="46">
        <v>1</v>
      </c>
      <c r="I36" s="48">
        <v>0</v>
      </c>
      <c r="J36" s="46">
        <v>0.1</v>
      </c>
      <c r="K36" s="49"/>
    </row>
    <row r="37" spans="1:11">
      <c r="A37" s="45">
        <v>45611</v>
      </c>
      <c r="B37" s="46" t="s">
        <v>14</v>
      </c>
      <c r="C37" s="47">
        <v>0</v>
      </c>
      <c r="D37" s="46" t="s">
        <v>4</v>
      </c>
      <c r="E37" s="46" t="s">
        <v>1</v>
      </c>
      <c r="F37" s="46">
        <v>52</v>
      </c>
      <c r="G37" s="46">
        <v>3.2</v>
      </c>
      <c r="H37" s="46">
        <v>1</v>
      </c>
      <c r="I37" s="48">
        <v>0</v>
      </c>
      <c r="J37" s="46">
        <v>0.12</v>
      </c>
      <c r="K37" s="49"/>
    </row>
    <row r="38" spans="1:11">
      <c r="A38" s="45">
        <v>45611</v>
      </c>
      <c r="B38" s="46" t="s">
        <v>14</v>
      </c>
      <c r="C38" s="47">
        <v>0</v>
      </c>
      <c r="D38" s="46" t="s">
        <v>4</v>
      </c>
      <c r="E38" s="46" t="s">
        <v>9</v>
      </c>
      <c r="F38" s="46">
        <v>52</v>
      </c>
      <c r="G38" s="46">
        <v>3.2</v>
      </c>
      <c r="H38" s="46">
        <v>1</v>
      </c>
      <c r="I38" s="48">
        <v>0</v>
      </c>
      <c r="J38" s="46">
        <v>0.1</v>
      </c>
      <c r="K38" s="49" t="s">
        <v>75</v>
      </c>
    </row>
    <row r="39" spans="1:11">
      <c r="A39" s="50">
        <v>45611</v>
      </c>
      <c r="B39" s="51" t="s">
        <v>31</v>
      </c>
      <c r="C39" s="52">
        <v>0</v>
      </c>
      <c r="D39" s="51" t="s">
        <v>3</v>
      </c>
      <c r="E39" s="51" t="s">
        <v>0</v>
      </c>
      <c r="F39" s="51">
        <v>70</v>
      </c>
      <c r="G39" s="51">
        <v>51.2</v>
      </c>
      <c r="H39" s="51">
        <v>1</v>
      </c>
      <c r="I39" s="53">
        <v>0</v>
      </c>
      <c r="J39" s="51">
        <v>1.1100000000000001</v>
      </c>
      <c r="K39" s="54"/>
    </row>
    <row r="40" spans="1:11">
      <c r="A40" s="50">
        <v>45611</v>
      </c>
      <c r="B40" s="51" t="s">
        <v>31</v>
      </c>
      <c r="C40" s="52">
        <v>0</v>
      </c>
      <c r="D40" s="51" t="s">
        <v>3</v>
      </c>
      <c r="E40" s="51" t="s">
        <v>1</v>
      </c>
      <c r="F40" s="51">
        <v>76</v>
      </c>
      <c r="G40" s="51">
        <v>60.7</v>
      </c>
      <c r="H40" s="51">
        <v>1</v>
      </c>
      <c r="I40" s="53">
        <v>0</v>
      </c>
      <c r="J40" s="51">
        <v>1.7</v>
      </c>
      <c r="K40" s="54" t="s">
        <v>76</v>
      </c>
    </row>
    <row r="41" spans="1:11">
      <c r="A41" s="45">
        <v>45611</v>
      </c>
      <c r="B41" s="46" t="s">
        <v>51</v>
      </c>
      <c r="C41" s="47">
        <v>0</v>
      </c>
      <c r="D41" s="46" t="s">
        <v>4</v>
      </c>
      <c r="E41" s="46" t="s">
        <v>0</v>
      </c>
      <c r="F41" s="46">
        <v>103</v>
      </c>
      <c r="G41" s="46">
        <v>3.6</v>
      </c>
      <c r="H41" s="46">
        <v>1</v>
      </c>
      <c r="I41" s="48">
        <v>0</v>
      </c>
      <c r="J41" s="46">
        <v>0.71</v>
      </c>
      <c r="K41" s="49" t="s">
        <v>77</v>
      </c>
    </row>
    <row r="42" spans="1:11">
      <c r="A42" s="50">
        <v>45611</v>
      </c>
      <c r="B42" s="51" t="s">
        <v>10</v>
      </c>
      <c r="C42" s="52">
        <v>0</v>
      </c>
      <c r="D42" s="51" t="s">
        <v>3</v>
      </c>
      <c r="E42" s="51" t="s">
        <v>0</v>
      </c>
      <c r="F42" s="51">
        <v>78</v>
      </c>
      <c r="G42" s="51">
        <v>56</v>
      </c>
      <c r="H42" s="51">
        <v>1</v>
      </c>
      <c r="I42" s="53">
        <v>0</v>
      </c>
      <c r="J42" s="51">
        <v>3.98</v>
      </c>
      <c r="K42" s="54"/>
    </row>
    <row r="43" spans="1:11">
      <c r="A43" s="50">
        <v>45611</v>
      </c>
      <c r="B43" s="51" t="s">
        <v>10</v>
      </c>
      <c r="C43" s="52">
        <v>0</v>
      </c>
      <c r="D43" s="51" t="s">
        <v>3</v>
      </c>
      <c r="E43" s="51" t="s">
        <v>0</v>
      </c>
      <c r="F43" s="51">
        <v>78</v>
      </c>
      <c r="G43" s="51">
        <v>56</v>
      </c>
      <c r="H43" s="51">
        <v>1</v>
      </c>
      <c r="I43" s="53">
        <v>0</v>
      </c>
      <c r="J43" s="51">
        <v>6.36</v>
      </c>
      <c r="K43" s="54" t="s">
        <v>78</v>
      </c>
    </row>
    <row r="44" spans="1:11">
      <c r="A44" s="45">
        <v>45611</v>
      </c>
      <c r="B44" s="46" t="s">
        <v>14</v>
      </c>
      <c r="C44" s="47">
        <v>60</v>
      </c>
      <c r="D44" s="46" t="s">
        <v>3</v>
      </c>
      <c r="E44" s="46" t="s">
        <v>0</v>
      </c>
      <c r="F44" s="46">
        <v>50</v>
      </c>
      <c r="G44" s="46">
        <v>1.9</v>
      </c>
      <c r="H44" s="46">
        <v>1</v>
      </c>
      <c r="I44" s="48">
        <v>0</v>
      </c>
      <c r="J44" s="46">
        <v>0.03</v>
      </c>
      <c r="K44" s="49"/>
    </row>
    <row r="45" spans="1:11">
      <c r="A45" s="45">
        <v>45611</v>
      </c>
      <c r="B45" s="46" t="s">
        <v>14</v>
      </c>
      <c r="C45" s="47">
        <v>60</v>
      </c>
      <c r="D45" s="46" t="s">
        <v>3</v>
      </c>
      <c r="E45" s="46" t="s">
        <v>1</v>
      </c>
      <c r="F45" s="46">
        <v>53</v>
      </c>
      <c r="G45" s="46">
        <v>2</v>
      </c>
      <c r="H45" s="46">
        <v>1</v>
      </c>
      <c r="I45" s="48">
        <v>0</v>
      </c>
      <c r="J45" s="46">
        <v>0.04</v>
      </c>
      <c r="K45" s="49"/>
    </row>
    <row r="46" spans="1:11">
      <c r="A46" s="45">
        <v>45611</v>
      </c>
      <c r="B46" s="46" t="s">
        <v>14</v>
      </c>
      <c r="C46" s="47">
        <v>60</v>
      </c>
      <c r="D46" s="46" t="s">
        <v>3</v>
      </c>
      <c r="E46" s="46" t="s">
        <v>9</v>
      </c>
      <c r="F46" s="46">
        <v>50</v>
      </c>
      <c r="G46" s="46">
        <v>1.9</v>
      </c>
      <c r="H46" s="46">
        <v>1</v>
      </c>
      <c r="I46" s="48">
        <v>0</v>
      </c>
      <c r="J46" s="46">
        <v>0.03</v>
      </c>
      <c r="K46" s="49" t="s">
        <v>79</v>
      </c>
    </row>
    <row r="47" spans="1:11">
      <c r="A47" s="50">
        <v>45611</v>
      </c>
      <c r="B47" s="51" t="s">
        <v>14</v>
      </c>
      <c r="C47" s="52">
        <v>55</v>
      </c>
      <c r="D47" s="51" t="s">
        <v>4</v>
      </c>
      <c r="E47" s="51" t="s">
        <v>0</v>
      </c>
      <c r="F47" s="51">
        <v>50</v>
      </c>
      <c r="G47" s="51">
        <v>1.5</v>
      </c>
      <c r="H47" s="51">
        <v>1</v>
      </c>
      <c r="I47" s="53">
        <v>0</v>
      </c>
      <c r="J47" s="51">
        <v>0.04</v>
      </c>
      <c r="K47" s="54"/>
    </row>
    <row r="48" spans="1:11">
      <c r="A48" s="50">
        <v>45611</v>
      </c>
      <c r="B48" s="51" t="s">
        <v>14</v>
      </c>
      <c r="C48" s="52">
        <v>55</v>
      </c>
      <c r="D48" s="51" t="s">
        <v>4</v>
      </c>
      <c r="E48" s="51" t="s">
        <v>1</v>
      </c>
      <c r="F48" s="51">
        <v>53</v>
      </c>
      <c r="G48" s="51">
        <v>1.5</v>
      </c>
      <c r="H48" s="51">
        <v>1</v>
      </c>
      <c r="I48" s="53">
        <v>0</v>
      </c>
      <c r="J48" s="51">
        <v>0.06</v>
      </c>
      <c r="K48" s="54"/>
    </row>
    <row r="49" spans="1:11">
      <c r="A49" s="50">
        <v>45611</v>
      </c>
      <c r="B49" s="51" t="s">
        <v>14</v>
      </c>
      <c r="C49" s="52">
        <v>55</v>
      </c>
      <c r="D49" s="51" t="s">
        <v>4</v>
      </c>
      <c r="E49" s="51" t="s">
        <v>9</v>
      </c>
      <c r="F49" s="51">
        <v>50</v>
      </c>
      <c r="G49" s="51">
        <v>1.5</v>
      </c>
      <c r="H49" s="51">
        <v>1</v>
      </c>
      <c r="I49" s="53">
        <v>0</v>
      </c>
      <c r="J49" s="51">
        <v>0.04</v>
      </c>
      <c r="K49" s="54" t="s">
        <v>74</v>
      </c>
    </row>
    <row r="50" spans="1:11">
      <c r="A50" s="45">
        <v>45611</v>
      </c>
      <c r="B50" s="46" t="s">
        <v>14</v>
      </c>
      <c r="C50" s="47">
        <v>55</v>
      </c>
      <c r="D50" s="46" t="s">
        <v>4</v>
      </c>
      <c r="E50" s="46" t="s">
        <v>0</v>
      </c>
      <c r="F50" s="46">
        <v>50</v>
      </c>
      <c r="G50" s="46">
        <v>1.2</v>
      </c>
      <c r="H50" s="46">
        <v>1</v>
      </c>
      <c r="I50" s="48"/>
      <c r="J50" s="46">
        <v>0.04</v>
      </c>
      <c r="K50" s="49"/>
    </row>
    <row r="51" spans="1:11">
      <c r="A51" s="45">
        <v>45611</v>
      </c>
      <c r="B51" s="46" t="s">
        <v>14</v>
      </c>
      <c r="C51" s="47">
        <v>55</v>
      </c>
      <c r="D51" s="46" t="s">
        <v>4</v>
      </c>
      <c r="E51" s="46" t="s">
        <v>1</v>
      </c>
      <c r="F51" s="46">
        <v>53</v>
      </c>
      <c r="G51" s="46">
        <v>1.2</v>
      </c>
      <c r="H51" s="46">
        <v>1</v>
      </c>
      <c r="I51" s="48">
        <v>0</v>
      </c>
      <c r="J51" s="46">
        <v>0.04</v>
      </c>
      <c r="K51" s="49"/>
    </row>
    <row r="52" spans="1:11">
      <c r="A52" s="45">
        <v>45611</v>
      </c>
      <c r="B52" s="46" t="s">
        <v>14</v>
      </c>
      <c r="C52" s="47">
        <v>55</v>
      </c>
      <c r="D52" s="46" t="s">
        <v>4</v>
      </c>
      <c r="E52" s="46" t="s">
        <v>9</v>
      </c>
      <c r="F52" s="46">
        <v>50</v>
      </c>
      <c r="G52" s="46">
        <v>1.2</v>
      </c>
      <c r="H52" s="46">
        <v>1</v>
      </c>
      <c r="I52" s="48"/>
      <c r="J52" s="46">
        <v>0.03</v>
      </c>
      <c r="K52" s="49" t="s">
        <v>80</v>
      </c>
    </row>
    <row r="53" spans="1:11">
      <c r="A53" s="50">
        <v>45611</v>
      </c>
      <c r="B53" s="51" t="s">
        <v>28</v>
      </c>
      <c r="C53" s="52">
        <v>55</v>
      </c>
      <c r="D53" s="51" t="s">
        <v>4</v>
      </c>
      <c r="E53" s="51" t="s">
        <v>0</v>
      </c>
      <c r="F53" s="51">
        <v>50</v>
      </c>
      <c r="G53" s="51">
        <v>1.2</v>
      </c>
      <c r="H53" s="51">
        <v>1</v>
      </c>
      <c r="I53" s="53"/>
      <c r="J53" s="51">
        <v>0.04</v>
      </c>
      <c r="K53" s="54"/>
    </row>
    <row r="54" spans="1:11">
      <c r="A54" s="50">
        <v>45611</v>
      </c>
      <c r="B54" s="51" t="s">
        <v>28</v>
      </c>
      <c r="C54" s="52">
        <v>55</v>
      </c>
      <c r="D54" s="51" t="s">
        <v>4</v>
      </c>
      <c r="E54" s="51" t="s">
        <v>1</v>
      </c>
      <c r="F54" s="51">
        <v>53</v>
      </c>
      <c r="G54" s="51">
        <v>1.2</v>
      </c>
      <c r="H54" s="51">
        <v>1</v>
      </c>
      <c r="I54" s="53">
        <v>0</v>
      </c>
      <c r="J54" s="51">
        <v>0.05</v>
      </c>
      <c r="K54" s="54"/>
    </row>
    <row r="55" spans="1:11">
      <c r="A55" s="50">
        <v>45611</v>
      </c>
      <c r="B55" s="51" t="s">
        <v>28</v>
      </c>
      <c r="C55" s="52">
        <v>55</v>
      </c>
      <c r="D55" s="51" t="s">
        <v>4</v>
      </c>
      <c r="E55" s="51" t="s">
        <v>9</v>
      </c>
      <c r="F55" s="51">
        <v>50</v>
      </c>
      <c r="G55" s="51">
        <v>1.2</v>
      </c>
      <c r="H55" s="51">
        <v>1</v>
      </c>
      <c r="I55" s="53"/>
      <c r="J55" s="51">
        <v>0.03</v>
      </c>
      <c r="K55" s="54" t="s">
        <v>81</v>
      </c>
    </row>
    <row r="56" spans="1:11">
      <c r="A56" s="45">
        <v>45611</v>
      </c>
      <c r="B56" s="46" t="s">
        <v>28</v>
      </c>
      <c r="C56" s="47">
        <v>55</v>
      </c>
      <c r="D56" s="46" t="s">
        <v>4</v>
      </c>
      <c r="E56" s="46" t="s">
        <v>0</v>
      </c>
      <c r="F56" s="46">
        <v>58</v>
      </c>
      <c r="G56" s="46">
        <v>2</v>
      </c>
      <c r="H56" s="46">
        <v>1</v>
      </c>
      <c r="I56" s="48"/>
      <c r="J56" s="46">
        <v>0.09</v>
      </c>
      <c r="K56" s="49"/>
    </row>
    <row r="57" spans="1:11">
      <c r="A57" s="45">
        <v>45611</v>
      </c>
      <c r="B57" s="46" t="s">
        <v>28</v>
      </c>
      <c r="C57" s="47">
        <v>55</v>
      </c>
      <c r="D57" s="46" t="s">
        <v>4</v>
      </c>
      <c r="E57" s="46" t="s">
        <v>1</v>
      </c>
      <c r="F57" s="46">
        <v>58</v>
      </c>
      <c r="G57" s="46">
        <v>2</v>
      </c>
      <c r="H57" s="46">
        <v>1</v>
      </c>
      <c r="I57" s="48">
        <v>0</v>
      </c>
      <c r="J57" s="46">
        <v>0.09</v>
      </c>
      <c r="K57" s="49" t="s">
        <v>82</v>
      </c>
    </row>
    <row r="58" spans="1:11">
      <c r="A58" s="50">
        <v>45611</v>
      </c>
      <c r="B58" s="51" t="s">
        <v>26</v>
      </c>
      <c r="C58" s="52">
        <v>55</v>
      </c>
      <c r="D58" s="51" t="s">
        <v>4</v>
      </c>
      <c r="E58" s="51" t="s">
        <v>0</v>
      </c>
      <c r="F58" s="51">
        <v>58</v>
      </c>
      <c r="G58" s="51">
        <v>2</v>
      </c>
      <c r="H58" s="51">
        <v>1</v>
      </c>
      <c r="I58" s="53"/>
      <c r="J58" s="51">
        <v>0.09</v>
      </c>
      <c r="K58" s="54"/>
    </row>
    <row r="59" spans="1:11">
      <c r="A59" s="50">
        <v>45611</v>
      </c>
      <c r="B59" s="51" t="s">
        <v>26</v>
      </c>
      <c r="C59" s="52">
        <v>55</v>
      </c>
      <c r="D59" s="51" t="s">
        <v>4</v>
      </c>
      <c r="E59" s="51" t="s">
        <v>1</v>
      </c>
      <c r="F59" s="51">
        <v>58</v>
      </c>
      <c r="G59" s="51">
        <v>2</v>
      </c>
      <c r="H59" s="51">
        <v>1</v>
      </c>
      <c r="I59" s="53">
        <v>0</v>
      </c>
      <c r="J59" s="51">
        <v>0.09</v>
      </c>
      <c r="K59" s="54" t="s">
        <v>82</v>
      </c>
    </row>
    <row r="60" spans="1:11">
      <c r="A60" s="45">
        <v>45611</v>
      </c>
      <c r="B60" s="46" t="s">
        <v>51</v>
      </c>
      <c r="C60" s="47">
        <v>65</v>
      </c>
      <c r="D60" s="46" t="s">
        <v>3</v>
      </c>
      <c r="E60" s="46" t="s">
        <v>0</v>
      </c>
      <c r="F60" s="46">
        <v>108</v>
      </c>
      <c r="G60" s="46">
        <v>5</v>
      </c>
      <c r="H60" s="46">
        <v>1</v>
      </c>
      <c r="I60" s="48">
        <v>0</v>
      </c>
      <c r="J60" s="46">
        <v>0.26</v>
      </c>
      <c r="K60" s="49"/>
    </row>
    <row r="61" spans="1:11">
      <c r="A61" s="45">
        <v>45611</v>
      </c>
      <c r="B61" s="46" t="s">
        <v>51</v>
      </c>
      <c r="C61" s="47">
        <v>65</v>
      </c>
      <c r="D61" s="46" t="s">
        <v>3</v>
      </c>
      <c r="E61" s="46" t="s">
        <v>1</v>
      </c>
      <c r="F61" s="46">
        <v>110</v>
      </c>
      <c r="G61" s="46">
        <v>8</v>
      </c>
      <c r="H61" s="46">
        <v>1</v>
      </c>
      <c r="I61" s="48">
        <v>0</v>
      </c>
      <c r="J61" s="46">
        <v>0.47</v>
      </c>
      <c r="K61" s="49" t="s">
        <v>83</v>
      </c>
    </row>
    <row r="62" spans="1:11">
      <c r="A62" s="50">
        <v>45611</v>
      </c>
      <c r="B62" s="51" t="s">
        <v>7</v>
      </c>
      <c r="C62" s="52">
        <v>65</v>
      </c>
      <c r="D62" s="51" t="s">
        <v>3</v>
      </c>
      <c r="E62" s="51" t="s">
        <v>0</v>
      </c>
      <c r="F62" s="51">
        <v>63</v>
      </c>
      <c r="G62" s="51">
        <v>14</v>
      </c>
      <c r="H62" s="51">
        <v>1</v>
      </c>
      <c r="I62" s="53">
        <v>0</v>
      </c>
      <c r="J62" s="51">
        <v>0.45</v>
      </c>
      <c r="K62" s="54"/>
    </row>
    <row r="63" spans="1:11">
      <c r="A63" s="50">
        <v>45611</v>
      </c>
      <c r="B63" s="51" t="s">
        <v>7</v>
      </c>
      <c r="C63" s="52">
        <v>65</v>
      </c>
      <c r="D63" s="51" t="s">
        <v>3</v>
      </c>
      <c r="E63" s="51" t="s">
        <v>1</v>
      </c>
      <c r="F63" s="51">
        <v>63</v>
      </c>
      <c r="G63" s="51">
        <v>14</v>
      </c>
      <c r="H63" s="51">
        <v>1</v>
      </c>
      <c r="I63" s="53">
        <v>0</v>
      </c>
      <c r="J63" s="51">
        <v>0.39</v>
      </c>
      <c r="K63" s="54" t="s">
        <v>84</v>
      </c>
    </row>
    <row r="64" spans="1:11">
      <c r="A64" s="45">
        <v>45611</v>
      </c>
      <c r="B64" s="46" t="s">
        <v>51</v>
      </c>
      <c r="C64" s="47">
        <v>72</v>
      </c>
      <c r="D64" s="46" t="s">
        <v>3</v>
      </c>
      <c r="E64" s="46" t="s">
        <v>0</v>
      </c>
      <c r="F64" s="46">
        <v>113</v>
      </c>
      <c r="G64" s="46">
        <v>3.6</v>
      </c>
      <c r="H64" s="46">
        <v>1</v>
      </c>
      <c r="I64" s="48">
        <v>0</v>
      </c>
      <c r="J64" s="46">
        <v>0.2</v>
      </c>
      <c r="K64" s="49"/>
    </row>
    <row r="65" spans="1:11">
      <c r="A65" s="45">
        <v>45611</v>
      </c>
      <c r="B65" s="46" t="s">
        <v>51</v>
      </c>
      <c r="C65" s="47">
        <v>72</v>
      </c>
      <c r="D65" s="46" t="s">
        <v>3</v>
      </c>
      <c r="E65" s="46" t="s">
        <v>1</v>
      </c>
      <c r="F65" s="46">
        <v>115</v>
      </c>
      <c r="G65" s="46">
        <v>8</v>
      </c>
      <c r="H65" s="46">
        <v>1</v>
      </c>
      <c r="I65" s="48">
        <v>0</v>
      </c>
      <c r="J65" s="46">
        <v>0.51</v>
      </c>
      <c r="K65" s="49" t="s">
        <v>77</v>
      </c>
    </row>
    <row r="66" spans="1:11">
      <c r="A66" s="50">
        <v>45611</v>
      </c>
      <c r="B66" s="51" t="s">
        <v>51</v>
      </c>
      <c r="C66" s="52">
        <v>72</v>
      </c>
      <c r="D66" s="51" t="s">
        <v>3</v>
      </c>
      <c r="E66" s="51" t="s">
        <v>0</v>
      </c>
      <c r="F66" s="51">
        <v>100</v>
      </c>
      <c r="G66" s="51">
        <v>3.5</v>
      </c>
      <c r="H66" s="51">
        <v>1</v>
      </c>
      <c r="I66" s="53">
        <v>0</v>
      </c>
      <c r="J66" s="51">
        <v>0.15</v>
      </c>
      <c r="K66" s="54"/>
    </row>
    <row r="67" spans="1:11">
      <c r="A67" s="50">
        <v>45611</v>
      </c>
      <c r="B67" s="51" t="s">
        <v>51</v>
      </c>
      <c r="C67" s="52">
        <v>72</v>
      </c>
      <c r="D67" s="51" t="s">
        <v>3</v>
      </c>
      <c r="E67" s="51" t="s">
        <v>1</v>
      </c>
      <c r="F67" s="51">
        <v>113</v>
      </c>
      <c r="G67" s="51">
        <v>8.5</v>
      </c>
      <c r="H67" s="51">
        <v>1</v>
      </c>
      <c r="I67" s="53">
        <v>0</v>
      </c>
      <c r="J67" s="51">
        <v>0.52</v>
      </c>
      <c r="K67" s="54" t="s">
        <v>85</v>
      </c>
    </row>
    <row r="68" spans="1:11">
      <c r="A68" s="45">
        <v>45611</v>
      </c>
      <c r="B68" s="46" t="s">
        <v>10</v>
      </c>
      <c r="C68" s="47">
        <v>75</v>
      </c>
      <c r="D68" s="46" t="s">
        <v>3</v>
      </c>
      <c r="E68" s="46" t="s">
        <v>0</v>
      </c>
      <c r="F68" s="46">
        <v>77</v>
      </c>
      <c r="G68" s="46">
        <v>20</v>
      </c>
      <c r="H68" s="46">
        <v>2</v>
      </c>
      <c r="I68" s="48">
        <v>0</v>
      </c>
      <c r="J68" s="46">
        <v>2.77</v>
      </c>
      <c r="K68" s="49" t="s">
        <v>86</v>
      </c>
    </row>
    <row r="69" spans="1:11">
      <c r="A69" s="50">
        <v>45611</v>
      </c>
      <c r="B69" s="51" t="s">
        <v>31</v>
      </c>
      <c r="C69" s="52">
        <v>60</v>
      </c>
      <c r="D69" s="51" t="s">
        <v>3</v>
      </c>
      <c r="E69" s="51" t="s">
        <v>0</v>
      </c>
      <c r="F69" s="51">
        <v>75</v>
      </c>
      <c r="G69" s="51">
        <v>25</v>
      </c>
      <c r="H69" s="51">
        <v>1</v>
      </c>
      <c r="I69" s="53">
        <v>0</v>
      </c>
      <c r="J69" s="51">
        <v>0.62</v>
      </c>
      <c r="K69" s="54"/>
    </row>
    <row r="70" spans="1:11">
      <c r="A70" s="50">
        <v>45611</v>
      </c>
      <c r="B70" s="51" t="s">
        <v>31</v>
      </c>
      <c r="C70" s="52">
        <v>60</v>
      </c>
      <c r="D70" s="51" t="s">
        <v>3</v>
      </c>
      <c r="E70" s="51" t="s">
        <v>1</v>
      </c>
      <c r="F70" s="51">
        <v>90</v>
      </c>
      <c r="G70" s="51">
        <v>32</v>
      </c>
      <c r="H70" s="51">
        <v>1</v>
      </c>
      <c r="I70" s="53">
        <v>0</v>
      </c>
      <c r="J70" s="51">
        <v>1.25</v>
      </c>
      <c r="K70" s="54" t="s">
        <v>87</v>
      </c>
    </row>
    <row r="71" spans="1:11">
      <c r="A71" s="45">
        <v>45611</v>
      </c>
      <c r="B71" s="46" t="s">
        <v>10</v>
      </c>
      <c r="C71" s="47">
        <v>60</v>
      </c>
      <c r="D71" s="46" t="s">
        <v>3</v>
      </c>
      <c r="E71" s="46" t="s">
        <v>0</v>
      </c>
      <c r="F71" s="46">
        <v>80</v>
      </c>
      <c r="G71" s="46">
        <v>25</v>
      </c>
      <c r="H71" s="46">
        <v>1</v>
      </c>
      <c r="I71" s="48">
        <v>0</v>
      </c>
      <c r="J71" s="46">
        <v>1.87</v>
      </c>
      <c r="K71" s="49"/>
    </row>
    <row r="72" spans="1:11">
      <c r="A72" s="45">
        <v>45611</v>
      </c>
      <c r="B72" s="46" t="s">
        <v>10</v>
      </c>
      <c r="C72" s="47">
        <v>60</v>
      </c>
      <c r="D72" s="46" t="s">
        <v>3</v>
      </c>
      <c r="E72" s="46" t="s">
        <v>1</v>
      </c>
      <c r="F72" s="46">
        <v>80</v>
      </c>
      <c r="G72" s="46">
        <v>25</v>
      </c>
      <c r="H72" s="46">
        <v>1</v>
      </c>
      <c r="I72" s="48">
        <v>0</v>
      </c>
      <c r="J72" s="46">
        <v>2.1800000000000002</v>
      </c>
      <c r="K72" s="49" t="s">
        <v>88</v>
      </c>
    </row>
    <row r="73" spans="1:11">
      <c r="A73" s="50">
        <v>45611</v>
      </c>
      <c r="B73" s="51" t="s">
        <v>54</v>
      </c>
      <c r="C73" s="52">
        <v>60</v>
      </c>
      <c r="D73" s="51" t="s">
        <v>3</v>
      </c>
      <c r="E73" s="51" t="s">
        <v>0</v>
      </c>
      <c r="F73" s="51">
        <v>80</v>
      </c>
      <c r="G73" s="51">
        <v>18</v>
      </c>
      <c r="H73" s="51">
        <v>3</v>
      </c>
      <c r="I73" s="53">
        <v>0</v>
      </c>
      <c r="J73" s="51">
        <v>1.53</v>
      </c>
      <c r="K73" s="54" t="s">
        <v>89</v>
      </c>
    </row>
    <row r="74" spans="1:11">
      <c r="A74" s="45">
        <v>45611</v>
      </c>
      <c r="B74" s="46" t="s">
        <v>51</v>
      </c>
      <c r="C74" s="47">
        <v>70</v>
      </c>
      <c r="D74" s="46" t="s">
        <v>3</v>
      </c>
      <c r="E74" s="46" t="s">
        <v>0</v>
      </c>
      <c r="F74" s="46">
        <v>113</v>
      </c>
      <c r="G74" s="46">
        <v>4</v>
      </c>
      <c r="H74" s="46">
        <v>1</v>
      </c>
      <c r="I74" s="48">
        <v>0</v>
      </c>
      <c r="J74" s="46">
        <v>0.22</v>
      </c>
      <c r="K74" s="49"/>
    </row>
    <row r="75" spans="1:11">
      <c r="A75" s="45">
        <v>45611</v>
      </c>
      <c r="B75" s="46" t="s">
        <v>51</v>
      </c>
      <c r="C75" s="47">
        <v>70</v>
      </c>
      <c r="D75" s="46" t="s">
        <v>3</v>
      </c>
      <c r="E75" s="46" t="s">
        <v>1</v>
      </c>
      <c r="F75" s="46">
        <v>115</v>
      </c>
      <c r="G75" s="46">
        <v>8</v>
      </c>
      <c r="H75" s="46">
        <v>1</v>
      </c>
      <c r="I75" s="48">
        <v>0</v>
      </c>
      <c r="J75" s="46">
        <v>0.51</v>
      </c>
      <c r="K75" s="49" t="s">
        <v>83</v>
      </c>
    </row>
    <row r="76" spans="1:11">
      <c r="A76" s="50">
        <v>45611</v>
      </c>
      <c r="B76" s="51" t="s">
        <v>51</v>
      </c>
      <c r="C76" s="52">
        <v>0</v>
      </c>
      <c r="D76" s="51" t="s">
        <v>3</v>
      </c>
      <c r="E76" s="51" t="s">
        <v>0</v>
      </c>
      <c r="F76" s="51">
        <v>100</v>
      </c>
      <c r="G76" s="51">
        <v>5</v>
      </c>
      <c r="H76" s="51">
        <v>2</v>
      </c>
      <c r="I76" s="53">
        <v>0</v>
      </c>
      <c r="J76" s="51">
        <v>0.44</v>
      </c>
      <c r="K76" s="54" t="s">
        <v>90</v>
      </c>
    </row>
    <row r="77" spans="1:11">
      <c r="A77" s="45">
        <v>45612</v>
      </c>
      <c r="B77" s="46" t="s">
        <v>51</v>
      </c>
      <c r="C77" s="47">
        <v>57</v>
      </c>
      <c r="D77" s="46" t="s">
        <v>3</v>
      </c>
      <c r="E77" s="46" t="s">
        <v>0</v>
      </c>
      <c r="F77" s="46">
        <v>95</v>
      </c>
      <c r="G77" s="46">
        <v>2.2000000000000002</v>
      </c>
      <c r="H77" s="46">
        <v>1</v>
      </c>
      <c r="I77" s="48">
        <v>1</v>
      </c>
      <c r="J77" s="46">
        <v>0.18</v>
      </c>
      <c r="K77" s="49"/>
    </row>
    <row r="78" spans="1:11">
      <c r="A78" s="45">
        <v>45612</v>
      </c>
      <c r="B78" s="46" t="s">
        <v>51</v>
      </c>
      <c r="C78" s="47">
        <v>57</v>
      </c>
      <c r="D78" s="46" t="s">
        <v>3</v>
      </c>
      <c r="E78" s="46" t="s">
        <v>1</v>
      </c>
      <c r="F78" s="46">
        <v>105</v>
      </c>
      <c r="G78" s="46">
        <v>2.5</v>
      </c>
      <c r="H78" s="46">
        <v>1</v>
      </c>
      <c r="I78" s="48">
        <v>0</v>
      </c>
      <c r="J78" s="46">
        <v>0.13</v>
      </c>
      <c r="K78" s="49" t="s">
        <v>91</v>
      </c>
    </row>
    <row r="79" spans="1:11">
      <c r="A79" s="50">
        <v>45612</v>
      </c>
      <c r="B79" s="51" t="s">
        <v>51</v>
      </c>
      <c r="C79" s="52">
        <v>65</v>
      </c>
      <c r="D79" s="51" t="s">
        <v>3</v>
      </c>
      <c r="E79" s="51" t="s">
        <v>0</v>
      </c>
      <c r="F79" s="51">
        <v>66</v>
      </c>
      <c r="G79" s="51">
        <v>12</v>
      </c>
      <c r="H79" s="51">
        <v>1</v>
      </c>
      <c r="I79" s="53">
        <v>0</v>
      </c>
      <c r="J79" s="51">
        <v>0.23</v>
      </c>
      <c r="K79" s="54"/>
    </row>
    <row r="80" spans="1:11">
      <c r="A80" s="50">
        <v>45612</v>
      </c>
      <c r="B80" s="51" t="s">
        <v>51</v>
      </c>
      <c r="C80" s="52">
        <v>65</v>
      </c>
      <c r="D80" s="51" t="s">
        <v>3</v>
      </c>
      <c r="E80" s="51" t="s">
        <v>1</v>
      </c>
      <c r="F80" s="51">
        <v>64</v>
      </c>
      <c r="G80" s="51">
        <v>10</v>
      </c>
      <c r="H80" s="51">
        <v>1</v>
      </c>
      <c r="I80" s="53">
        <v>0</v>
      </c>
      <c r="J80" s="51">
        <v>0.2</v>
      </c>
      <c r="K80" s="54" t="s">
        <v>92</v>
      </c>
    </row>
    <row r="81" spans="1:11">
      <c r="A81" s="45">
        <v>45612</v>
      </c>
      <c r="B81" s="46" t="s">
        <v>30</v>
      </c>
      <c r="C81" s="47">
        <v>63</v>
      </c>
      <c r="D81" s="46" t="s">
        <v>3</v>
      </c>
      <c r="E81" s="46" t="s">
        <v>0</v>
      </c>
      <c r="F81" s="46">
        <v>66</v>
      </c>
      <c r="G81" s="46">
        <v>8</v>
      </c>
      <c r="H81" s="46">
        <v>1</v>
      </c>
      <c r="I81" s="48">
        <v>0</v>
      </c>
      <c r="J81" s="46">
        <v>0.26</v>
      </c>
      <c r="K81" s="49"/>
    </row>
    <row r="82" spans="1:11">
      <c r="A82" s="45">
        <v>45612</v>
      </c>
      <c r="B82" s="46" t="s">
        <v>30</v>
      </c>
      <c r="C82" s="47">
        <v>63</v>
      </c>
      <c r="D82" s="46" t="s">
        <v>3</v>
      </c>
      <c r="E82" s="46" t="s">
        <v>1</v>
      </c>
      <c r="F82" s="46">
        <v>64</v>
      </c>
      <c r="G82" s="46">
        <v>6</v>
      </c>
      <c r="H82" s="46">
        <v>1</v>
      </c>
      <c r="I82" s="48">
        <v>0</v>
      </c>
      <c r="J82" s="46">
        <v>0.17</v>
      </c>
      <c r="K82" s="49" t="s">
        <v>92</v>
      </c>
    </row>
    <row r="83" spans="1:11">
      <c r="A83" s="50">
        <v>45612</v>
      </c>
      <c r="B83" s="51" t="s">
        <v>35</v>
      </c>
      <c r="C83" s="52">
        <v>0</v>
      </c>
      <c r="D83" s="51" t="s">
        <v>3</v>
      </c>
      <c r="E83" s="51" t="s">
        <v>0</v>
      </c>
      <c r="F83" s="51">
        <v>80</v>
      </c>
      <c r="G83" s="51">
        <v>50</v>
      </c>
      <c r="H83" s="51">
        <v>1</v>
      </c>
      <c r="I83" s="53">
        <v>0</v>
      </c>
      <c r="J83" s="51">
        <v>1.42</v>
      </c>
      <c r="K83" s="54"/>
    </row>
    <row r="84" spans="1:11">
      <c r="A84" s="50">
        <v>45612</v>
      </c>
      <c r="B84" s="51" t="s">
        <v>35</v>
      </c>
      <c r="C84" s="52">
        <v>0</v>
      </c>
      <c r="D84" s="51" t="s">
        <v>3</v>
      </c>
      <c r="E84" s="51" t="s">
        <v>1</v>
      </c>
      <c r="F84" s="51">
        <v>95</v>
      </c>
      <c r="G84" s="51">
        <v>65</v>
      </c>
      <c r="H84" s="51">
        <v>1</v>
      </c>
      <c r="I84" s="53">
        <v>0</v>
      </c>
      <c r="J84" s="51">
        <v>2.83</v>
      </c>
      <c r="K84" s="54" t="s">
        <v>93</v>
      </c>
    </row>
    <row r="85" spans="1:11">
      <c r="A85" s="45">
        <v>45612</v>
      </c>
      <c r="B85" s="46" t="s">
        <v>51</v>
      </c>
      <c r="C85" s="47">
        <v>65</v>
      </c>
      <c r="D85" s="46" t="s">
        <v>3</v>
      </c>
      <c r="E85" s="46" t="s">
        <v>0</v>
      </c>
      <c r="F85" s="46">
        <v>100</v>
      </c>
      <c r="G85" s="46">
        <v>2.5</v>
      </c>
      <c r="H85" s="46">
        <v>1</v>
      </c>
      <c r="I85" s="48">
        <v>0</v>
      </c>
      <c r="J85" s="46">
        <v>0.11</v>
      </c>
      <c r="K85" s="49"/>
    </row>
    <row r="86" spans="1:11">
      <c r="A86" s="45">
        <v>45612</v>
      </c>
      <c r="B86" s="46" t="s">
        <v>51</v>
      </c>
      <c r="C86" s="47">
        <v>65</v>
      </c>
      <c r="D86" s="46" t="s">
        <v>3</v>
      </c>
      <c r="E86" s="46" t="s">
        <v>1</v>
      </c>
      <c r="F86" s="46">
        <v>110</v>
      </c>
      <c r="G86" s="46">
        <v>2.5</v>
      </c>
      <c r="H86" s="46">
        <v>1</v>
      </c>
      <c r="I86" s="48">
        <v>0</v>
      </c>
      <c r="J86" s="46">
        <v>0.15</v>
      </c>
      <c r="K86" s="49" t="s">
        <v>94</v>
      </c>
    </row>
    <row r="87" spans="1:11">
      <c r="A87" s="50">
        <v>45612</v>
      </c>
      <c r="B87" s="51" t="s">
        <v>30</v>
      </c>
      <c r="C87" s="52">
        <v>60</v>
      </c>
      <c r="D87" s="51" t="s">
        <v>3</v>
      </c>
      <c r="E87" s="51" t="s">
        <v>0</v>
      </c>
      <c r="F87" s="51">
        <v>70</v>
      </c>
      <c r="G87" s="51">
        <v>18</v>
      </c>
      <c r="H87" s="51">
        <v>1</v>
      </c>
      <c r="I87" s="53">
        <v>0</v>
      </c>
      <c r="J87" s="51">
        <v>0.65</v>
      </c>
      <c r="K87" s="54"/>
    </row>
    <row r="88" spans="1:11">
      <c r="A88" s="50">
        <v>45612</v>
      </c>
      <c r="B88" s="51" t="s">
        <v>30</v>
      </c>
      <c r="C88" s="52">
        <v>60</v>
      </c>
      <c r="D88" s="51" t="s">
        <v>3</v>
      </c>
      <c r="E88" s="51" t="s">
        <v>1</v>
      </c>
      <c r="F88" s="51">
        <v>68</v>
      </c>
      <c r="G88" s="51">
        <v>18</v>
      </c>
      <c r="H88" s="51">
        <v>1</v>
      </c>
      <c r="I88" s="53">
        <v>0</v>
      </c>
      <c r="J88" s="51">
        <v>0.59</v>
      </c>
      <c r="K88" s="54" t="s">
        <v>95</v>
      </c>
    </row>
    <row r="89" spans="1:11">
      <c r="A89" s="45">
        <v>45612</v>
      </c>
      <c r="B89" s="46" t="s">
        <v>43</v>
      </c>
      <c r="C89" s="47">
        <v>60</v>
      </c>
      <c r="D89" s="46" t="s">
        <v>3</v>
      </c>
      <c r="E89" s="46" t="s">
        <v>0</v>
      </c>
      <c r="F89" s="46">
        <v>70</v>
      </c>
      <c r="G89" s="46">
        <v>32</v>
      </c>
      <c r="H89" s="46">
        <v>1</v>
      </c>
      <c r="I89" s="48">
        <v>0</v>
      </c>
      <c r="J89" s="46">
        <v>1.84</v>
      </c>
      <c r="K89" s="49"/>
    </row>
    <row r="90" spans="1:11">
      <c r="A90" s="45">
        <v>45612</v>
      </c>
      <c r="B90" s="46" t="s">
        <v>43</v>
      </c>
      <c r="C90" s="47">
        <v>60</v>
      </c>
      <c r="D90" s="46" t="s">
        <v>3</v>
      </c>
      <c r="E90" s="46" t="s">
        <v>1</v>
      </c>
      <c r="F90" s="46">
        <v>70</v>
      </c>
      <c r="G90" s="46">
        <v>25</v>
      </c>
      <c r="H90" s="46">
        <v>2</v>
      </c>
      <c r="I90" s="48">
        <v>0</v>
      </c>
      <c r="J90" s="46">
        <v>3.34</v>
      </c>
      <c r="K90" s="49" t="s">
        <v>96</v>
      </c>
    </row>
    <row r="91" spans="1:11">
      <c r="A91" s="50">
        <v>45612</v>
      </c>
      <c r="B91" s="51" t="s">
        <v>14</v>
      </c>
      <c r="C91" s="52">
        <v>61</v>
      </c>
      <c r="D91" s="51" t="s">
        <v>3</v>
      </c>
      <c r="E91" s="51" t="s">
        <v>0</v>
      </c>
      <c r="F91" s="51">
        <v>44</v>
      </c>
      <c r="G91" s="51">
        <v>2.2000000000000002</v>
      </c>
      <c r="H91" s="51">
        <v>1</v>
      </c>
      <c r="I91" s="53">
        <v>0</v>
      </c>
      <c r="J91" s="51">
        <v>0.03</v>
      </c>
      <c r="K91" s="54"/>
    </row>
    <row r="92" spans="1:11">
      <c r="A92" s="50">
        <v>45612</v>
      </c>
      <c r="B92" s="51" t="s">
        <v>14</v>
      </c>
      <c r="C92" s="52">
        <v>61</v>
      </c>
      <c r="D92" s="51" t="s">
        <v>3</v>
      </c>
      <c r="E92" s="51" t="s">
        <v>1</v>
      </c>
      <c r="F92" s="51">
        <v>42</v>
      </c>
      <c r="G92" s="51">
        <v>2.2000000000000002</v>
      </c>
      <c r="H92" s="51">
        <v>1</v>
      </c>
      <c r="I92" s="53">
        <v>0</v>
      </c>
      <c r="J92" s="51">
        <v>0.02</v>
      </c>
      <c r="K92" s="54"/>
    </row>
    <row r="93" spans="1:11">
      <c r="A93" s="50">
        <v>45612</v>
      </c>
      <c r="B93" s="51" t="s">
        <v>14</v>
      </c>
      <c r="C93" s="52">
        <v>61</v>
      </c>
      <c r="D93" s="51" t="s">
        <v>3</v>
      </c>
      <c r="E93" s="51" t="s">
        <v>9</v>
      </c>
      <c r="F93" s="51">
        <v>44</v>
      </c>
      <c r="G93" s="51">
        <v>2.2000000000000002</v>
      </c>
      <c r="H93" s="51">
        <v>1</v>
      </c>
      <c r="I93" s="53">
        <v>0</v>
      </c>
      <c r="J93" s="51">
        <v>0.02</v>
      </c>
      <c r="K93" s="54" t="s">
        <v>97</v>
      </c>
    </row>
    <row r="94" spans="1:11">
      <c r="A94" s="45">
        <v>45612</v>
      </c>
      <c r="B94" s="46" t="s">
        <v>30</v>
      </c>
      <c r="C94" s="47">
        <v>72</v>
      </c>
      <c r="D94" s="46" t="s">
        <v>3</v>
      </c>
      <c r="E94" s="46" t="s">
        <v>0</v>
      </c>
      <c r="F94" s="46">
        <v>66</v>
      </c>
      <c r="G94" s="46">
        <v>8</v>
      </c>
      <c r="H94" s="46">
        <v>1</v>
      </c>
      <c r="I94" s="48">
        <v>0</v>
      </c>
      <c r="J94" s="46">
        <v>0.26</v>
      </c>
      <c r="K94" s="49"/>
    </row>
    <row r="95" spans="1:11">
      <c r="A95" s="45">
        <v>45612</v>
      </c>
      <c r="B95" s="46" t="s">
        <v>30</v>
      </c>
      <c r="C95" s="47">
        <v>72</v>
      </c>
      <c r="D95" s="46" t="s">
        <v>3</v>
      </c>
      <c r="E95" s="46" t="s">
        <v>1</v>
      </c>
      <c r="F95" s="46">
        <v>62</v>
      </c>
      <c r="G95" s="46">
        <v>8</v>
      </c>
      <c r="H95" s="46">
        <v>2</v>
      </c>
      <c r="I95" s="48">
        <v>0</v>
      </c>
      <c r="J95" s="46">
        <v>0.43</v>
      </c>
      <c r="K95" s="49" t="s">
        <v>98</v>
      </c>
    </row>
    <row r="96" spans="1:11">
      <c r="A96" s="50">
        <v>45612</v>
      </c>
      <c r="B96" s="51" t="s">
        <v>51</v>
      </c>
      <c r="C96" s="52">
        <v>55</v>
      </c>
      <c r="D96" s="51" t="s">
        <v>3</v>
      </c>
      <c r="E96" s="51" t="s">
        <v>0</v>
      </c>
      <c r="F96" s="51">
        <v>100</v>
      </c>
      <c r="G96" s="51">
        <v>2.5</v>
      </c>
      <c r="H96" s="51">
        <v>1</v>
      </c>
      <c r="I96" s="53">
        <v>0</v>
      </c>
      <c r="J96" s="51">
        <v>0.11</v>
      </c>
      <c r="K96" s="54"/>
    </row>
    <row r="97" spans="1:11">
      <c r="A97" s="50">
        <v>45612</v>
      </c>
      <c r="B97" s="51" t="s">
        <v>51</v>
      </c>
      <c r="C97" s="52">
        <v>55</v>
      </c>
      <c r="D97" s="51" t="s">
        <v>3</v>
      </c>
      <c r="E97" s="51" t="s">
        <v>1</v>
      </c>
      <c r="F97" s="51">
        <v>110</v>
      </c>
      <c r="G97" s="51">
        <v>3.2</v>
      </c>
      <c r="H97" s="51">
        <v>1</v>
      </c>
      <c r="I97" s="53">
        <v>0</v>
      </c>
      <c r="J97" s="51">
        <v>0.19</v>
      </c>
      <c r="K97" s="54" t="s">
        <v>65</v>
      </c>
    </row>
    <row r="98" spans="1:11">
      <c r="A98" s="45">
        <v>45612</v>
      </c>
      <c r="B98" s="46" t="s">
        <v>51</v>
      </c>
      <c r="C98" s="47">
        <v>75</v>
      </c>
      <c r="D98" s="46" t="s">
        <v>3</v>
      </c>
      <c r="E98" s="46" t="s">
        <v>0</v>
      </c>
      <c r="F98" s="46">
        <v>95</v>
      </c>
      <c r="G98" s="46">
        <v>4</v>
      </c>
      <c r="H98" s="46">
        <v>1</v>
      </c>
      <c r="I98" s="48">
        <v>0</v>
      </c>
      <c r="J98" s="46">
        <v>0.16</v>
      </c>
      <c r="K98" s="49"/>
    </row>
    <row r="99" spans="1:11">
      <c r="A99" s="45">
        <v>45612</v>
      </c>
      <c r="B99" s="46" t="s">
        <v>51</v>
      </c>
      <c r="C99" s="47">
        <v>75</v>
      </c>
      <c r="D99" s="46" t="s">
        <v>3</v>
      </c>
      <c r="E99" s="46" t="s">
        <v>1</v>
      </c>
      <c r="F99" s="46">
        <v>110</v>
      </c>
      <c r="G99" s="46">
        <v>9</v>
      </c>
      <c r="H99" s="46">
        <v>1</v>
      </c>
      <c r="I99" s="48">
        <v>0</v>
      </c>
      <c r="J99" s="46">
        <v>0.52</v>
      </c>
      <c r="K99" s="49" t="s">
        <v>99</v>
      </c>
    </row>
    <row r="100" spans="1:11">
      <c r="A100" s="50">
        <v>45612</v>
      </c>
      <c r="B100" s="51" t="s">
        <v>10</v>
      </c>
      <c r="C100" s="52">
        <v>75</v>
      </c>
      <c r="D100" s="51" t="s">
        <v>3</v>
      </c>
      <c r="E100" s="51" t="s">
        <v>0</v>
      </c>
      <c r="F100" s="51">
        <v>90</v>
      </c>
      <c r="G100" s="51">
        <v>40</v>
      </c>
      <c r="H100" s="51">
        <v>1</v>
      </c>
      <c r="I100" s="53">
        <v>0</v>
      </c>
      <c r="J100" s="51">
        <v>3.78</v>
      </c>
      <c r="K100" s="54"/>
    </row>
    <row r="101" spans="1:11">
      <c r="A101" s="50">
        <v>45612</v>
      </c>
      <c r="B101" s="51" t="s">
        <v>10</v>
      </c>
      <c r="C101" s="52">
        <v>75</v>
      </c>
      <c r="D101" s="51" t="s">
        <v>3</v>
      </c>
      <c r="E101" s="51" t="s">
        <v>1</v>
      </c>
      <c r="F101" s="51">
        <v>90</v>
      </c>
      <c r="G101" s="51">
        <v>45</v>
      </c>
      <c r="H101" s="51">
        <v>1</v>
      </c>
      <c r="I101" s="53">
        <v>0</v>
      </c>
      <c r="J101" s="51">
        <v>4.9400000000000004</v>
      </c>
      <c r="K101" s="54" t="s">
        <v>100</v>
      </c>
    </row>
    <row r="102" spans="1:11">
      <c r="A102" s="45">
        <v>45694</v>
      </c>
      <c r="B102" s="46" t="s">
        <v>51</v>
      </c>
      <c r="C102" s="47">
        <v>60</v>
      </c>
      <c r="D102" s="46" t="s">
        <v>3</v>
      </c>
      <c r="E102" s="46" t="s">
        <v>0</v>
      </c>
      <c r="F102" s="46">
        <v>80</v>
      </c>
      <c r="G102" s="46">
        <v>4</v>
      </c>
      <c r="H102" s="46">
        <v>1</v>
      </c>
      <c r="I102" s="48">
        <v>0</v>
      </c>
      <c r="J102" s="46">
        <v>0.11</v>
      </c>
      <c r="K102" s="49"/>
    </row>
    <row r="103" spans="1:11">
      <c r="A103" s="45">
        <v>45694</v>
      </c>
      <c r="B103" s="46" t="s">
        <v>51</v>
      </c>
      <c r="C103" s="47">
        <v>60</v>
      </c>
      <c r="D103" s="46" t="s">
        <v>3</v>
      </c>
      <c r="E103" s="46" t="s">
        <v>1</v>
      </c>
      <c r="F103" s="46">
        <v>100</v>
      </c>
      <c r="G103" s="46">
        <v>8</v>
      </c>
      <c r="H103" s="46">
        <v>1</v>
      </c>
      <c r="I103" s="48">
        <v>0</v>
      </c>
      <c r="J103" s="46">
        <v>0.39</v>
      </c>
      <c r="K103" s="49" t="s">
        <v>101</v>
      </c>
    </row>
    <row r="104" spans="1:11">
      <c r="A104" s="50">
        <v>45694</v>
      </c>
      <c r="B104" s="51" t="s">
        <v>10</v>
      </c>
      <c r="C104" s="52">
        <v>45</v>
      </c>
      <c r="D104" s="51" t="s">
        <v>3</v>
      </c>
      <c r="E104" s="51" t="s">
        <v>0</v>
      </c>
      <c r="F104" s="51">
        <v>80</v>
      </c>
      <c r="G104" s="51">
        <v>18</v>
      </c>
      <c r="H104" s="51">
        <v>1</v>
      </c>
      <c r="I104" s="53">
        <v>0</v>
      </c>
      <c r="J104" s="51">
        <v>1.35</v>
      </c>
      <c r="K104" s="54"/>
    </row>
    <row r="105" spans="1:11">
      <c r="A105" s="50">
        <v>45694</v>
      </c>
      <c r="B105" s="51" t="s">
        <v>10</v>
      </c>
      <c r="C105" s="52">
        <v>45</v>
      </c>
      <c r="D105" s="51" t="s">
        <v>3</v>
      </c>
      <c r="E105" s="51" t="s">
        <v>1</v>
      </c>
      <c r="F105" s="51">
        <v>90</v>
      </c>
      <c r="G105" s="51">
        <v>20</v>
      </c>
      <c r="H105" s="51">
        <v>1</v>
      </c>
      <c r="I105" s="53"/>
      <c r="J105" s="51">
        <v>2.2000000000000002</v>
      </c>
      <c r="K105" s="54" t="s">
        <v>102</v>
      </c>
    </row>
    <row r="106" spans="1:11">
      <c r="A106" s="45">
        <v>45694</v>
      </c>
      <c r="B106" s="46" t="s">
        <v>10</v>
      </c>
      <c r="C106" s="47">
        <v>45</v>
      </c>
      <c r="D106" s="46" t="s">
        <v>3</v>
      </c>
      <c r="E106" s="46" t="s">
        <v>0</v>
      </c>
      <c r="F106" s="46">
        <v>75</v>
      </c>
      <c r="G106" s="46">
        <v>18</v>
      </c>
      <c r="H106" s="46">
        <v>1</v>
      </c>
      <c r="I106" s="48">
        <v>0</v>
      </c>
      <c r="J106" s="46">
        <v>1.18</v>
      </c>
      <c r="K106" s="49"/>
    </row>
    <row r="107" spans="1:11">
      <c r="A107" s="45">
        <v>45694</v>
      </c>
      <c r="B107" s="46" t="s">
        <v>10</v>
      </c>
      <c r="C107" s="47">
        <v>45</v>
      </c>
      <c r="D107" s="46" t="s">
        <v>3</v>
      </c>
      <c r="E107" s="46" t="s">
        <v>0</v>
      </c>
      <c r="F107" s="46">
        <v>75</v>
      </c>
      <c r="G107" s="46">
        <v>18</v>
      </c>
      <c r="H107" s="46">
        <v>1</v>
      </c>
      <c r="I107" s="48">
        <v>0</v>
      </c>
      <c r="J107" s="46">
        <v>1.89</v>
      </c>
      <c r="K107" s="49" t="s">
        <v>103</v>
      </c>
    </row>
    <row r="108" spans="1:11">
      <c r="A108" s="50">
        <v>45694</v>
      </c>
      <c r="B108" s="51" t="s">
        <v>10</v>
      </c>
      <c r="C108" s="52">
        <v>68</v>
      </c>
      <c r="D108" s="51" t="s">
        <v>3</v>
      </c>
      <c r="E108" s="51" t="s">
        <v>0</v>
      </c>
      <c r="F108" s="51">
        <v>80</v>
      </c>
      <c r="G108" s="51">
        <v>18</v>
      </c>
      <c r="H108" s="51">
        <v>1</v>
      </c>
      <c r="I108" s="53">
        <v>0</v>
      </c>
      <c r="J108" s="51">
        <v>1.35</v>
      </c>
      <c r="K108" s="54"/>
    </row>
    <row r="109" spans="1:11">
      <c r="A109" s="50">
        <v>45694</v>
      </c>
      <c r="B109" s="51" t="s">
        <v>10</v>
      </c>
      <c r="C109" s="52">
        <v>68</v>
      </c>
      <c r="D109" s="51" t="s">
        <v>3</v>
      </c>
      <c r="E109" s="51" t="s">
        <v>1</v>
      </c>
      <c r="F109" s="51">
        <v>90</v>
      </c>
      <c r="G109" s="51">
        <v>20</v>
      </c>
      <c r="H109" s="51">
        <v>1</v>
      </c>
      <c r="I109" s="53"/>
      <c r="J109" s="51">
        <v>2.2000000000000002</v>
      </c>
      <c r="K109" s="54" t="s">
        <v>102</v>
      </c>
    </row>
    <row r="110" spans="1:11">
      <c r="A110" s="45">
        <v>45694</v>
      </c>
      <c r="B110" s="46" t="s">
        <v>23</v>
      </c>
      <c r="C110" s="47">
        <v>75</v>
      </c>
      <c r="D110" s="46" t="s">
        <v>3</v>
      </c>
      <c r="E110" s="46" t="s">
        <v>0</v>
      </c>
      <c r="F110" s="46">
        <v>70</v>
      </c>
      <c r="G110" s="46">
        <v>9</v>
      </c>
      <c r="H110" s="46">
        <v>3</v>
      </c>
      <c r="I110" s="48">
        <v>0</v>
      </c>
      <c r="J110" s="46">
        <v>0.86</v>
      </c>
      <c r="K110" s="49"/>
    </row>
    <row r="111" spans="1:11">
      <c r="A111" s="45">
        <v>45694</v>
      </c>
      <c r="B111" s="46" t="s">
        <v>23</v>
      </c>
      <c r="C111" s="47">
        <v>75</v>
      </c>
      <c r="D111" s="46" t="s">
        <v>3</v>
      </c>
      <c r="E111" s="46" t="s">
        <v>1</v>
      </c>
      <c r="F111" s="46">
        <v>70</v>
      </c>
      <c r="G111" s="46">
        <v>9</v>
      </c>
      <c r="H111" s="46">
        <v>1</v>
      </c>
      <c r="I111" s="48"/>
      <c r="J111" s="46">
        <v>0.28999999999999998</v>
      </c>
      <c r="K111" s="49" t="s">
        <v>104</v>
      </c>
    </row>
    <row r="112" spans="1:11">
      <c r="A112" s="50">
        <v>45694</v>
      </c>
      <c r="B112" s="51" t="s">
        <v>51</v>
      </c>
      <c r="C112" s="52">
        <v>105</v>
      </c>
      <c r="D112" s="51" t="s">
        <v>3</v>
      </c>
      <c r="E112" s="51" t="s">
        <v>0</v>
      </c>
      <c r="F112" s="51">
        <v>110</v>
      </c>
      <c r="G112" s="51">
        <v>12</v>
      </c>
      <c r="H112" s="51">
        <v>1</v>
      </c>
      <c r="I112" s="53">
        <v>0</v>
      </c>
      <c r="J112" s="51">
        <v>0.64</v>
      </c>
      <c r="K112" s="54" t="s">
        <v>105</v>
      </c>
    </row>
    <row r="113" spans="1:11">
      <c r="A113" s="45">
        <v>45695</v>
      </c>
      <c r="B113" s="46" t="s">
        <v>17</v>
      </c>
      <c r="C113" s="47">
        <v>60</v>
      </c>
      <c r="D113" s="46" t="s">
        <v>4</v>
      </c>
      <c r="E113" s="46" t="s">
        <v>0</v>
      </c>
      <c r="F113" s="46">
        <v>50</v>
      </c>
      <c r="G113" s="46">
        <v>2</v>
      </c>
      <c r="H113" s="46">
        <v>3</v>
      </c>
      <c r="I113" s="48">
        <v>0</v>
      </c>
      <c r="J113" s="46">
        <v>0.19</v>
      </c>
      <c r="K113" s="49" t="s">
        <v>73</v>
      </c>
    </row>
    <row r="114" spans="1:11">
      <c r="A114" s="50">
        <v>45695</v>
      </c>
      <c r="B114" s="51" t="s">
        <v>39</v>
      </c>
      <c r="C114" s="52">
        <v>60</v>
      </c>
      <c r="D114" s="51" t="s">
        <v>4</v>
      </c>
      <c r="E114" s="51" t="s">
        <v>0</v>
      </c>
      <c r="F114" s="51">
        <v>50</v>
      </c>
      <c r="G114" s="51">
        <v>2</v>
      </c>
      <c r="H114" s="51">
        <v>3</v>
      </c>
      <c r="I114" s="53">
        <v>0</v>
      </c>
      <c r="J114" s="51">
        <v>0.19</v>
      </c>
      <c r="K114" s="54" t="s">
        <v>73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Gráficos</vt:lpstr>
      </vt:variant>
      <vt:variant>
        <vt:i4>1</vt:i4>
      </vt:variant>
    </vt:vector>
  </HeadingPairs>
  <TitlesOfParts>
    <vt:vector size="4" baseType="lpstr">
      <vt:lpstr>Calculadora</vt:lpstr>
      <vt:lpstr>Parametros</vt:lpstr>
      <vt:lpstr>Datos</vt:lpstr>
      <vt:lpstr>Gráfico1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Palma</dc:creator>
  <cp:lastModifiedBy>Daniel Eduardo Salazar Correa</cp:lastModifiedBy>
  <dcterms:created xsi:type="dcterms:W3CDTF">2024-10-24T05:17:30Z</dcterms:created>
  <dcterms:modified xsi:type="dcterms:W3CDTF">2025-06-20T15:32:58Z</dcterms:modified>
</cp:coreProperties>
</file>