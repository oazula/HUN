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8.1.13\Fileserver\Imagenes Diagnosticas\OFICIAL PROTECCIÓN RADIOLÓGICA\0. Daniel Salazar\11. Niveles de Referencia\Docs calculadora dosis\"/>
    </mc:Choice>
  </mc:AlternateContent>
  <bookViews>
    <workbookView xWindow="0" yWindow="0" windowWidth="28800" windowHeight="12180" activeTab="2"/>
  </bookViews>
  <sheets>
    <sheet name="Calculadora" sheetId="1" r:id="rId1"/>
    <sheet name="Parametros" sheetId="2" state="hidden" r:id="rId2"/>
    <sheet name="Datos" sheetId="3" r:id="rId3"/>
  </sheets>
  <definedNames>
    <definedName name="_xlnm._FilterDatabase" localSheetId="1" hidden="1">Parametros!#REF!</definedName>
    <definedName name="_xleta.AND" hidden="1" xlm="1">#NAME?</definedName>
    <definedName name="_xleta.CLEAN" hidden="1" xlm="1">#NAME?</definedName>
    <definedName name="_xleta.TYPE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I14" i="1"/>
  <c r="H14" i="1"/>
  <c r="G14" i="1"/>
  <c r="F14" i="1"/>
  <c r="C14" i="1"/>
  <c r="E14" i="1"/>
  <c r="D14" i="1"/>
  <c r="J9" i="1" l="1"/>
  <c r="I9" i="1"/>
  <c r="H9" i="1"/>
  <c r="G9" i="1"/>
  <c r="F9" i="1"/>
  <c r="E9" i="1"/>
  <c r="D9" i="1"/>
  <c r="C9" i="1"/>
  <c r="C4" i="1" l="1"/>
</calcChain>
</file>

<file path=xl/sharedStrings.xml><?xml version="1.0" encoding="utf-8"?>
<sst xmlns="http://schemas.openxmlformats.org/spreadsheetml/2006/main" count="945" uniqueCount="134">
  <si>
    <t>AP-PA</t>
  </si>
  <si>
    <t>Bucky</t>
  </si>
  <si>
    <t>Camilla</t>
  </si>
  <si>
    <t>Pierna</t>
  </si>
  <si>
    <t>Cervical</t>
  </si>
  <si>
    <t>Parametros</t>
  </si>
  <si>
    <t>Abdomen</t>
  </si>
  <si>
    <t>mAs</t>
  </si>
  <si>
    <t>Brazo</t>
  </si>
  <si>
    <t>Placas Aprobadas</t>
  </si>
  <si>
    <t>Mano</t>
  </si>
  <si>
    <t>Placas Rechazadas</t>
  </si>
  <si>
    <t>Dosis [mGy]</t>
  </si>
  <si>
    <t>Estudio</t>
  </si>
  <si>
    <t>Distancia foco-detector</t>
  </si>
  <si>
    <t>kV</t>
  </si>
  <si>
    <t>Img Aprobadas</t>
  </si>
  <si>
    <t>Img Rechazadas</t>
  </si>
  <si>
    <t>Hombro</t>
  </si>
  <si>
    <t>ATM</t>
  </si>
  <si>
    <t>Mastoides</t>
  </si>
  <si>
    <t>Codo</t>
  </si>
  <si>
    <t>Antebrazo</t>
  </si>
  <si>
    <t>Muñeca</t>
  </si>
  <si>
    <t>Rodilla</t>
  </si>
  <si>
    <t>Sacro</t>
  </si>
  <si>
    <t>Coxis</t>
  </si>
  <si>
    <t>Proyección</t>
  </si>
  <si>
    <t>Tobillo</t>
  </si>
  <si>
    <t>Fecha</t>
  </si>
  <si>
    <t>Peso[kg]</t>
  </si>
  <si>
    <t>Mandíbula</t>
  </si>
  <si>
    <t>Órbitas</t>
  </si>
  <si>
    <t>Huesos Nasales</t>
  </si>
  <si>
    <t>Húmero</t>
  </si>
  <si>
    <t>Tórax</t>
  </si>
  <si>
    <t>Peso del paciente [kg]</t>
  </si>
  <si>
    <t>Esternón</t>
  </si>
  <si>
    <t>Dosis Total [mGy]</t>
  </si>
  <si>
    <t>Curva de rendimiento</t>
  </si>
  <si>
    <t>a</t>
  </si>
  <si>
    <t>b</t>
  </si>
  <si>
    <t>∆m = 10 Kg. 45 ≤ m &lt; 55</t>
  </si>
  <si>
    <t>∆m = 10 Kg. 55 ≤ m &lt; 65</t>
  </si>
  <si>
    <t>∆m = 10 Kg. 65 ≤ m &lt; 75</t>
  </si>
  <si>
    <t>∆m = 10 Kg. 75 ≤ m &lt; 85</t>
  </si>
  <si>
    <t>∆m = 10 Kg. 85 ≤ m &lt; 95</t>
  </si>
  <si>
    <t>∆m = 10 Kg. 95 ≤ m &lt; 105</t>
  </si>
  <si>
    <t>∆m = 10 Kg. 105 ≤ m &lt; 115</t>
  </si>
  <si>
    <t>∆m = 10 Kg. 115 ≤ m &lt; 125</t>
  </si>
  <si>
    <r>
      <rPr>
        <b/>
        <sz val="12"/>
        <color theme="1"/>
        <rFont val="Aptos Narrow"/>
        <family val="2"/>
        <scheme val="minor"/>
      </rPr>
      <t>Peso min =</t>
    </r>
    <r>
      <rPr>
        <sz val="12"/>
        <color theme="1"/>
        <rFont val="Aptos Narrow"/>
        <family val="2"/>
        <scheme val="minor"/>
      </rPr>
      <t xml:space="preserve"> 45 kg</t>
    </r>
  </si>
  <si>
    <r>
      <rPr>
        <b/>
        <sz val="12"/>
        <color theme="1"/>
        <rFont val="Aptos Narrow"/>
        <family val="2"/>
        <scheme val="minor"/>
      </rPr>
      <t>kV min =</t>
    </r>
    <r>
      <rPr>
        <sz val="12"/>
        <color theme="1"/>
        <rFont val="Aptos Narrow"/>
        <family val="2"/>
        <scheme val="minor"/>
      </rPr>
      <t xml:space="preserve"> 25 kV</t>
    </r>
  </si>
  <si>
    <r>
      <rPr>
        <b/>
        <sz val="12"/>
        <color theme="1"/>
        <rFont val="Aptos Narrow"/>
        <family val="2"/>
        <scheme val="minor"/>
      </rPr>
      <t>mAs min =</t>
    </r>
    <r>
      <rPr>
        <sz val="12"/>
        <color theme="1"/>
        <rFont val="Aptos Narrow"/>
        <family val="2"/>
        <scheme val="minor"/>
      </rPr>
      <t xml:space="preserve"> 1.1 mAs</t>
    </r>
  </si>
  <si>
    <t xml:space="preserve">Equipo </t>
  </si>
  <si>
    <t xml:space="preserve">Equipo Rx Fijo </t>
  </si>
  <si>
    <t>Equipo Rx portatil</t>
  </si>
  <si>
    <t>Rx Fluoroscopio</t>
  </si>
  <si>
    <t>Axila</t>
  </si>
  <si>
    <t>Tangencial</t>
  </si>
  <si>
    <t>Cavum Faríngeo</t>
  </si>
  <si>
    <t>Reja Costal</t>
  </si>
  <si>
    <t>Pelvis</t>
  </si>
  <si>
    <t>Fémur</t>
  </si>
  <si>
    <t>Lateral</t>
  </si>
  <si>
    <t>Odontoides</t>
  </si>
  <si>
    <t>Oblicua</t>
  </si>
  <si>
    <t>Clavícula</t>
  </si>
  <si>
    <t>Escápula</t>
  </si>
  <si>
    <t>Dedos</t>
  </si>
  <si>
    <t>Rótula</t>
  </si>
  <si>
    <t>Axial</t>
  </si>
  <si>
    <t>Calcáneo</t>
  </si>
  <si>
    <t xml:space="preserve">Cráneo </t>
  </si>
  <si>
    <t>Senos Paranasales</t>
  </si>
  <si>
    <t>Cara</t>
  </si>
  <si>
    <t>Dorsal torácica</t>
  </si>
  <si>
    <t>Lumbar</t>
  </si>
  <si>
    <t>Test Escoliosis</t>
  </si>
  <si>
    <t>Muñeca Escafoides</t>
  </si>
  <si>
    <t>Tunel del Carpo</t>
  </si>
  <si>
    <t>Dedos Pie</t>
  </si>
  <si>
    <t>Tórax Portatil</t>
  </si>
  <si>
    <t>Sacroiliacas</t>
  </si>
  <si>
    <t>Alar y Obturatriz</t>
  </si>
  <si>
    <t>Inlet-Outlet</t>
  </si>
  <si>
    <t xml:space="preserve">Cadwell   </t>
  </si>
  <si>
    <t>Waters</t>
  </si>
  <si>
    <t xml:space="preserve">Lateral </t>
  </si>
  <si>
    <t>Cono L5-S1</t>
  </si>
  <si>
    <t xml:space="preserve">Pie </t>
  </si>
  <si>
    <t>Goniometría Cervical</t>
  </si>
  <si>
    <t>Goniometría Dorsal</t>
  </si>
  <si>
    <t>Goniometría Lumbar</t>
  </si>
  <si>
    <t>Axiolateral</t>
  </si>
  <si>
    <t>Panorámica M. Inferiores</t>
  </si>
  <si>
    <t>Región Anatómica</t>
  </si>
  <si>
    <t>Proyecciones</t>
  </si>
  <si>
    <t>-</t>
  </si>
  <si>
    <t>Lista de proyecciones</t>
  </si>
  <si>
    <t>LAT</t>
  </si>
  <si>
    <t>OBLICUO</t>
  </si>
  <si>
    <t>10,21</t>
  </si>
  <si>
    <t>10,30</t>
  </si>
  <si>
    <t>9,10</t>
  </si>
  <si>
    <t>1,70</t>
  </si>
  <si>
    <t>1,95</t>
  </si>
  <si>
    <t>6,74</t>
  </si>
  <si>
    <t>10,66</t>
  </si>
  <si>
    <t>0,16</t>
  </si>
  <si>
    <t>0,47</t>
  </si>
  <si>
    <t>0,24</t>
  </si>
  <si>
    <t>8,07</t>
  </si>
  <si>
    <t>0,27</t>
  </si>
  <si>
    <t>1,93</t>
  </si>
  <si>
    <t>0,37</t>
  </si>
  <si>
    <t>0,33</t>
  </si>
  <si>
    <t>5,01</t>
  </si>
  <si>
    <t>0,28</t>
  </si>
  <si>
    <t>0,14</t>
  </si>
  <si>
    <t>0,48</t>
  </si>
  <si>
    <t>0,56</t>
  </si>
  <si>
    <t>1,08</t>
  </si>
  <si>
    <t>1,09</t>
  </si>
  <si>
    <t>0,96</t>
  </si>
  <si>
    <t>0,75</t>
  </si>
  <si>
    <t>0,30</t>
  </si>
  <si>
    <t>6,45</t>
  </si>
  <si>
    <t>0,32</t>
  </si>
  <si>
    <t>Total de dosis = 0,32 mGy</t>
  </si>
  <si>
    <t>0,09</t>
  </si>
  <si>
    <t>0,06</t>
  </si>
  <si>
    <t>0,36</t>
  </si>
  <si>
    <t xml:space="preserve">** Estudio: Rodilla **
Peso del paciente: 60 Kg
Dist: Camilla; Pos: AP-PA; kV: 70; mAs: 2; Img Apr: 2; Img Rech: 0; Dosis: 0,32 mGy
**Dosis total: 0,32 mGy**_x000D_
_x000D_
** Estudio: Mastoides **
Peso del paciente: 50 Kg
Dist: Camilla; Pos: AP-PA; kV: 70; mAs: 2; Img Apr: 2; Img Rech: 0; Dosis: 0,37 mGy
**Dosis total: 0,37 mGy**_x000D_
_x000D_
** Estudio: Pie  **
Peso del paciente: 50 Kg
Dist: Bucky; Pos: AP-PA; kV: 50; mAs: 2; Img Apr: 1; Img Rech: 0; Dosis: 0,03 mGy
Dist: Bucky; Pos: Lateral; kV: 50; mAs: 2; Img Apr: 2; Img Rech: 0; Dosis: 0,06 mGy
**Dosis total: 0,09 mGy**_x000D_
_x000D_
** Estudio: Mano **
Peso del paciente: 50 Kg
Dist: Bucky; Pos: AP-PA; kV: 50; mAs: 2; Img Apr: 1; Img Rech: 0; Dosis: 0,03 mGy
Dist: Bucky; Pos: Lateral; kV: 50; mAs: 2; Img Apr: 1; Img Rech: 0; Dosis: 0,03 mGy
**Dosis total: 0,06 mGy**_x000D_
_x000D_
** Estudio: Tórax **
Peso del paciente: 50 Kg
Dist: Bucky; Pos: AP-PA; kV: 90; mAs: 2; Img Apr: 1; Img Rech: 0; Dosis: 0,07 mGy
Dist: Bucky; Pos: Lateral; kV: 110; mAs: 5; Img Apr: 1; Img Rech: 0; Dosis: 0,29 mGy
**Dosis total: 0,36 mGy**_x000D_
_x000D_
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</si>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</sst>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;\-0;;@"/>
    <numFmt numFmtId="165" formatCode="0.0;\-0.0;;@"/>
    <numFmt numFmtId="166" formatCode="0.00;\-0.00;;@"/>
  </numFmts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8"/>
      <color theme="3" tint="0.49998474074526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"/>
      <color theme="2" tint="-0.499984740745262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1"/>
      <color rgb="FF008000"/>
      <name val="Aptos Narrow"/>
    </font>
    <font>
      <b/>
      <sz val="11"/>
      <color rgb="FF0000FF"/>
      <name val="Aptos Narrow"/>
    </font>
    <font>
      <b/>
      <sz val="11"/>
      <color rgb="FFFF00FF"/>
      <name val="Aptos Narrow"/>
    </font>
    <font>
      <b/>
      <sz val="11"/>
      <color rgb="FFFF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EBF5EB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2" tint="-0.249977111117893"/>
      </left>
      <right/>
      <top/>
      <bottom/>
      <diagonal/>
    </border>
    <border>
      <left style="thick">
        <color theme="2" tint="-0.249977111117893"/>
      </left>
      <right/>
      <top style="thick">
        <color theme="2" tint="-0.249977111117893"/>
      </top>
      <bottom/>
      <diagonal/>
    </border>
    <border>
      <left style="thin">
        <color indexed="64"/>
      </left>
      <right style="thick">
        <color theme="2" tint="-9.9978637043366805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theme="2" tint="-9.9978637043366805E-2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2" tint="-9.9978637043366805E-2"/>
      </bottom>
      <diagonal/>
    </border>
    <border>
      <left/>
      <right style="thick">
        <color theme="2" tint="-9.9978637043366805E-2"/>
      </right>
      <top/>
      <bottom/>
      <diagonal/>
    </border>
    <border>
      <left style="thick">
        <color theme="2" tint="-9.9978637043366805E-2"/>
      </left>
      <right style="thin">
        <color theme="1"/>
      </right>
      <top style="thin">
        <color indexed="64"/>
      </top>
      <bottom style="thick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2" tint="-9.9948118533890809E-2"/>
      </bottom>
      <diagonal/>
    </border>
    <border>
      <left style="thin">
        <color theme="1"/>
      </left>
      <right style="thick">
        <color theme="2" tint="-9.9948118533890809E-2"/>
      </right>
      <top style="thin">
        <color theme="1"/>
      </top>
      <bottom style="thick">
        <color theme="2" tint="-9.9948118533890809E-2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ck">
        <color theme="2" tint="-9.9948118533890809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2" tint="-0.24994659260841701"/>
      </left>
      <right/>
      <top style="thick">
        <color theme="2" tint="-0.24994659260841701"/>
      </top>
      <bottom/>
      <diagonal/>
    </border>
    <border>
      <left/>
      <right/>
      <top style="thick">
        <color theme="2" tint="-0.24994659260841701"/>
      </top>
      <bottom/>
      <diagonal/>
    </border>
    <border>
      <left/>
      <right style="thick">
        <color theme="2" tint="-0.24994659260841701"/>
      </right>
      <top style="thick">
        <color theme="2" tint="-0.24994659260841701"/>
      </top>
      <bottom/>
      <diagonal/>
    </border>
    <border>
      <left style="thick">
        <color theme="2" tint="-0.24994659260841701"/>
      </left>
      <right/>
      <top/>
      <bottom/>
      <diagonal/>
    </border>
    <border>
      <left/>
      <right style="thick">
        <color theme="2" tint="-0.24994659260841701"/>
      </right>
      <top/>
      <bottom/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/>
      <top style="thick">
        <color theme="2" tint="-0.24994659260841701"/>
      </top>
      <bottom style="thick">
        <color theme="2" tint="-0.24994659260841701"/>
      </bottom>
      <diagonal/>
    </border>
    <border>
      <left/>
      <right style="thick">
        <color theme="2" tint="-0.24994659260841701"/>
      </right>
      <top style="thick">
        <color theme="2" tint="-0.24994659260841701"/>
      </top>
      <bottom style="thick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ck">
        <color theme="2" tint="-9.9948118533890809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7">
    <xf numFmtId="0" fontId="0" fillId="0" borderId="0" xfId="0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5" borderId="0" xfId="0" applyFont="1" applyFill="1"/>
    <xf numFmtId="0" fontId="4" fillId="0" borderId="0" xfId="0" applyFont="1"/>
    <xf numFmtId="0" fontId="5" fillId="5" borderId="0" xfId="0" applyFont="1" applyFill="1"/>
    <xf numFmtId="0" fontId="3" fillId="4" borderId="4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0" fillId="0" borderId="3" xfId="0" applyBorder="1"/>
    <xf numFmtId="0" fontId="4" fillId="5" borderId="14" xfId="0" applyFont="1" applyFill="1" applyBorder="1"/>
    <xf numFmtId="0" fontId="4" fillId="5" borderId="15" xfId="0" applyFont="1" applyFill="1" applyBorder="1"/>
    <xf numFmtId="0" fontId="0" fillId="0" borderId="1" xfId="0" applyBorder="1" applyAlignment="1">
      <alignment vertical="center"/>
    </xf>
    <xf numFmtId="0" fontId="7" fillId="7" borderId="1" xfId="0" applyFont="1" applyFill="1" applyBorder="1" applyAlignment="1">
      <alignment horizontal="center" vertical="center" wrapText="1"/>
    </xf>
    <xf numFmtId="0" fontId="0" fillId="5" borderId="0" xfId="0" applyFill="1"/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2" fillId="6" borderId="6" xfId="0" applyFont="1" applyFill="1" applyBorder="1" applyAlignment="1" applyProtection="1">
      <alignment horizontal="center" vertical="center" wrapText="1" shrinkToFit="1"/>
      <protection hidden="1"/>
    </xf>
    <xf numFmtId="0" fontId="2" fillId="6" borderId="5" xfId="0" applyFont="1" applyFill="1" applyBorder="1" applyAlignment="1" applyProtection="1">
      <alignment horizontal="center" vertical="center" wrapText="1" shrinkToFit="1"/>
      <protection hidden="1"/>
    </xf>
    <xf numFmtId="0" fontId="3" fillId="4" borderId="16" xfId="0" applyFont="1" applyFill="1" applyBorder="1" applyAlignment="1">
      <alignment horizontal="center"/>
    </xf>
    <xf numFmtId="0" fontId="11" fillId="5" borderId="0" xfId="0" applyFont="1" applyFill="1" applyAlignment="1" applyProtection="1">
      <alignment wrapText="1"/>
      <protection hidden="1"/>
    </xf>
    <xf numFmtId="2" fontId="13" fillId="5" borderId="0" xfId="0" applyNumberFormat="1" applyFont="1" applyFill="1" applyProtection="1">
      <protection locked="0"/>
    </xf>
    <xf numFmtId="2" fontId="15" fillId="0" borderId="0" xfId="0" applyNumberFormat="1" applyFont="1" applyProtection="1">
      <protection locked="0"/>
    </xf>
    <xf numFmtId="0" fontId="14" fillId="0" borderId="0" xfId="0" applyFont="1" applyProtection="1">
      <protection locked="0"/>
    </xf>
    <xf numFmtId="164" fontId="2" fillId="0" borderId="1" xfId="1" applyNumberFormat="1" applyFont="1" applyBorder="1" applyAlignment="1" applyProtection="1">
      <alignment horizontal="center" vertical="center"/>
      <protection locked="0"/>
    </xf>
    <xf numFmtId="164" fontId="2" fillId="0" borderId="4" xfId="1" applyNumberFormat="1" applyFont="1" applyBorder="1" applyAlignment="1" applyProtection="1">
      <alignment horizontal="center" vertical="center"/>
      <protection locked="0"/>
    </xf>
    <xf numFmtId="164" fontId="2" fillId="0" borderId="20" xfId="1" applyNumberFormat="1" applyFont="1" applyBorder="1" applyAlignment="1" applyProtection="1">
      <alignment horizontal="center" vertical="center"/>
      <protection locked="0"/>
    </xf>
    <xf numFmtId="165" fontId="2" fillId="0" borderId="1" xfId="1" applyNumberFormat="1" applyFont="1" applyBorder="1" applyAlignment="1" applyProtection="1">
      <alignment horizontal="center" vertical="center"/>
      <protection locked="0"/>
    </xf>
    <xf numFmtId="165" fontId="2" fillId="0" borderId="4" xfId="1" applyNumberFormat="1" applyFont="1" applyBorder="1" applyAlignment="1" applyProtection="1">
      <alignment horizontal="center" vertical="center"/>
      <protection locked="0"/>
    </xf>
    <xf numFmtId="165" fontId="2" fillId="0" borderId="20" xfId="1" applyNumberFormat="1" applyFont="1" applyBorder="1" applyAlignment="1" applyProtection="1">
      <alignment horizontal="center" vertical="center"/>
      <protection locked="0"/>
    </xf>
    <xf numFmtId="164" fontId="2" fillId="0" borderId="2" xfId="1" applyNumberFormat="1" applyFont="1" applyBorder="1" applyAlignment="1" applyProtection="1">
      <alignment horizontal="center" vertical="center"/>
      <protection locked="0"/>
    </xf>
    <xf numFmtId="164" fontId="2" fillId="0" borderId="21" xfId="1" applyNumberFormat="1" applyFont="1" applyBorder="1" applyAlignment="1" applyProtection="1">
      <alignment horizontal="center" vertical="center"/>
      <protection locked="0"/>
    </xf>
    <xf numFmtId="164" fontId="2" fillId="0" borderId="19" xfId="1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65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 applyAlignment="1" applyProtection="1">
      <alignment horizontal="center" vertical="center"/>
      <protection locked="0"/>
    </xf>
    <xf numFmtId="164" fontId="2" fillId="0" borderId="33" xfId="1" applyNumberFormat="1" applyFont="1" applyBorder="1" applyAlignment="1" applyProtection="1">
      <alignment horizontal="center" vertical="center"/>
      <protection locked="0"/>
    </xf>
    <xf numFmtId="164" fontId="2" fillId="0" borderId="35" xfId="1" applyNumberFormat="1" applyFont="1" applyBorder="1" applyAlignment="1" applyProtection="1">
      <alignment horizontal="center" vertical="center"/>
      <protection locked="0"/>
    </xf>
    <xf numFmtId="164" fontId="2" fillId="0" borderId="36" xfId="1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7" fillId="9" borderId="37" xfId="0" applyFont="1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7" fillId="10" borderId="37" xfId="0" applyFont="1" applyFill="1" applyBorder="1" applyAlignment="1">
      <alignment horizontal="center"/>
    </xf>
    <xf numFmtId="0" fontId="7" fillId="10" borderId="43" xfId="0" applyFont="1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7" fillId="11" borderId="37" xfId="0" applyFont="1" applyFill="1" applyBorder="1" applyAlignment="1">
      <alignment horizontal="center"/>
    </xf>
    <xf numFmtId="0" fontId="7" fillId="11" borderId="43" xfId="0" applyFont="1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166" fontId="10" fillId="0" borderId="17" xfId="1" applyNumberFormat="1" applyFont="1" applyBorder="1" applyAlignment="1" applyProtection="1">
      <alignment horizontal="center"/>
    </xf>
    <xf numFmtId="166" fontId="10" fillId="0" borderId="34" xfId="1" applyNumberFormat="1" applyFont="1" applyBorder="1" applyAlignment="1" applyProtection="1">
      <alignment horizontal="center"/>
    </xf>
    <xf numFmtId="166" fontId="10" fillId="0" borderId="18" xfId="1" applyNumberFormat="1" applyFont="1" applyBorder="1" applyAlignment="1" applyProtection="1">
      <alignment horizontal="center"/>
    </xf>
    <xf numFmtId="14" fontId="0" fillId="12" borderId="1" xfId="0" applyNumberFormat="1" applyFill="1" applyBorder="1"/>
    <xf numFmtId="0" fontId="0" fillId="12" borderId="1" xfId="0" applyFill="1" applyBorder="1"/>
    <xf numFmtId="0" fontId="0" fillId="12" borderId="1" xfId="0" applyFill="1" applyBorder="1" applyAlignment="1">
      <alignment vertical="center"/>
    </xf>
    <xf numFmtId="0" fontId="0" fillId="12" borderId="3" xfId="0" applyFill="1" applyBorder="1"/>
    <xf numFmtId="14" fontId="0" fillId="13" borderId="1" xfId="0" applyNumberFormat="1" applyFill="1" applyBorder="1"/>
    <xf numFmtId="0" fontId="0" fillId="13" borderId="1" xfId="0" applyFill="1" applyBorder="1"/>
    <xf numFmtId="0" fontId="0" fillId="13" borderId="1" xfId="0" applyFill="1" applyBorder="1" applyAlignment="1">
      <alignment vertical="center"/>
    </xf>
    <xf numFmtId="0" fontId="0" fillId="13" borderId="3" xfId="0" applyFill="1" applyBorder="1"/>
    <xf numFmtId="0" fontId="16" fillId="6" borderId="5" xfId="0" applyFont="1" applyFill="1" applyBorder="1" applyAlignment="1" applyProtection="1">
      <alignment horizontal="center" vertical="center" wrapText="1" shrinkToFit="1"/>
      <protection locked="0"/>
    </xf>
    <xf numFmtId="0" fontId="16" fillId="6" borderId="0" xfId="0" applyFont="1" applyFill="1" applyAlignment="1" applyProtection="1">
      <alignment horizontal="center" vertical="center" wrapText="1" shrinkToFit="1"/>
      <protection locked="0"/>
    </xf>
    <xf numFmtId="0" fontId="18" fillId="6" borderId="30" xfId="0" applyFont="1" applyFill="1" applyBorder="1" applyAlignment="1" applyProtection="1">
      <alignment horizontal="left" vertical="center"/>
      <protection locked="0"/>
    </xf>
    <xf numFmtId="0" fontId="18" fillId="6" borderId="31" xfId="0" applyFont="1" applyFill="1" applyBorder="1" applyAlignment="1" applyProtection="1">
      <alignment horizontal="left" vertical="center"/>
      <protection locked="0"/>
    </xf>
    <xf numFmtId="0" fontId="18" fillId="6" borderId="32" xfId="0" applyFont="1" applyFill="1" applyBorder="1" applyAlignment="1" applyProtection="1">
      <alignment horizontal="left" vertical="center"/>
      <protection locked="0"/>
    </xf>
    <xf numFmtId="0" fontId="12" fillId="6" borderId="22" xfId="0" applyFont="1" applyFill="1" applyBorder="1" applyAlignment="1" applyProtection="1">
      <alignment horizontal="left" vertical="top" wrapText="1"/>
      <protection locked="0"/>
    </xf>
    <xf numFmtId="0" fontId="12" fillId="6" borderId="23" xfId="0" applyFont="1" applyFill="1" applyBorder="1" applyAlignment="1" applyProtection="1">
      <alignment horizontal="left" vertical="top" wrapText="1"/>
      <protection locked="0"/>
    </xf>
    <xf numFmtId="0" fontId="12" fillId="6" borderId="24" xfId="0" applyFont="1" applyFill="1" applyBorder="1" applyAlignment="1" applyProtection="1">
      <alignment horizontal="left" vertical="top" wrapText="1"/>
      <protection locked="0"/>
    </xf>
    <xf numFmtId="0" fontId="12" fillId="6" borderId="25" xfId="0" applyFont="1" applyFill="1" applyBorder="1" applyAlignment="1" applyProtection="1">
      <alignment horizontal="left" vertical="top" wrapText="1"/>
      <protection locked="0"/>
    </xf>
    <xf numFmtId="0" fontId="12" fillId="6" borderId="0" xfId="0" applyFont="1" applyFill="1" applyAlignment="1" applyProtection="1">
      <alignment horizontal="left" vertical="top" wrapText="1"/>
      <protection locked="0"/>
    </xf>
    <xf numFmtId="0" fontId="12" fillId="6" borderId="26" xfId="0" applyFont="1" applyFill="1" applyBorder="1" applyAlignment="1" applyProtection="1">
      <alignment horizontal="left" vertical="top" wrapText="1"/>
      <protection locked="0"/>
    </xf>
    <xf numFmtId="0" fontId="12" fillId="6" borderId="27" xfId="0" applyFont="1" applyFill="1" applyBorder="1" applyAlignment="1" applyProtection="1">
      <alignment horizontal="left" vertical="top" wrapText="1"/>
      <protection locked="0"/>
    </xf>
    <xf numFmtId="0" fontId="12" fillId="6" borderId="28" xfId="0" applyFont="1" applyFill="1" applyBorder="1" applyAlignment="1" applyProtection="1">
      <alignment horizontal="left" vertical="top" wrapText="1"/>
      <protection locked="0"/>
    </xf>
    <xf numFmtId="0" fontId="12" fillId="6" borderId="29" xfId="0" applyFont="1" applyFill="1" applyBorder="1" applyAlignment="1" applyProtection="1">
      <alignment horizontal="left" vertical="top" wrapText="1"/>
      <protection locked="0"/>
    </xf>
    <xf numFmtId="0" fontId="6" fillId="4" borderId="13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8" fillId="8" borderId="10" xfId="0" applyFont="1" applyFill="1" applyBorder="1" applyAlignment="1" applyProtection="1">
      <alignment horizontal="center"/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8" fillId="8" borderId="12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7" fillId="10" borderId="41" xfId="0" applyFont="1" applyFill="1" applyBorder="1" applyAlignment="1">
      <alignment horizontal="center"/>
    </xf>
    <xf numFmtId="0" fontId="7" fillId="10" borderId="42" xfId="0" applyFont="1" applyFill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7" fillId="11" borderId="41" xfId="0" applyFont="1" applyFill="1" applyBorder="1" applyAlignment="1">
      <alignment horizontal="center"/>
    </xf>
    <xf numFmtId="0" fontId="7" fillId="11" borderId="42" xfId="0" applyFont="1" applyFill="1" applyBorder="1" applyAlignment="1">
      <alignment horizont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7" fillId="9" borderId="41" xfId="0" applyFont="1" applyFill="1" applyBorder="1" applyAlignment="1">
      <alignment horizontal="center"/>
    </xf>
    <xf numFmtId="0" fontId="7" fillId="9" borderId="42" xfId="0" applyFont="1" applyFill="1" applyBorder="1" applyAlignment="1">
      <alignment horizontal="center"/>
    </xf>
    <xf numFmtId="0" fontId="7" fillId="9" borderId="43" xfId="0" applyFont="1" applyFill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4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12">
    <dxf>
      <fill>
        <patternFill>
          <bgColor theme="5" tint="0.79998168889431442"/>
        </patternFill>
      </fill>
    </dxf>
    <dxf>
      <font>
        <color auto="1"/>
      </font>
      <fill>
        <patternFill>
          <bgColor theme="3" tint="0.74996185186315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6699"/>
        </patternFill>
      </fill>
    </dxf>
    <dxf>
      <fill>
        <patternFill>
          <bgColor rgb="FFFFCC99"/>
        </patternFill>
      </fill>
    </dxf>
    <dxf>
      <font>
        <b/>
        <i val="0"/>
        <color theme="3" tint="0.499984740745262"/>
      </font>
    </dxf>
    <dxf>
      <font>
        <color rgb="FFC00000"/>
      </font>
    </dxf>
    <dxf>
      <fill>
        <patternFill>
          <bgColor theme="2" tint="-9.9948118533890809E-2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17991</xdr:colOff>
      <xdr:row>5</xdr:row>
      <xdr:rowOff>16509</xdr:rowOff>
    </xdr:from>
    <xdr:to>
      <xdr:col>1</xdr:col>
      <xdr:colOff>1296035</xdr:colOff>
      <xdr:row>7</xdr:row>
      <xdr:rowOff>199390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79" r="4123"/>
        <a:stretch>
          <a:fillRect/>
        </a:stretch>
      </xdr:blipFill>
      <xdr:spPr bwMode="auto">
        <a:xfrm>
          <a:off x="339724" y="1074842"/>
          <a:ext cx="1278044" cy="665481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15</xdr:row>
          <xdr:rowOff>57150</xdr:rowOff>
        </xdr:from>
        <xdr:to>
          <xdr:col>2</xdr:col>
          <xdr:colOff>504825</xdr:colOff>
          <xdr:row>17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8000"/>
                  </a:solidFill>
                  <a:latin typeface="Aptos Narrow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47625</xdr:rowOff>
        </xdr:from>
        <xdr:to>
          <xdr:col>5</xdr:col>
          <xdr:colOff>19050</xdr:colOff>
          <xdr:row>17</xdr:row>
          <xdr:rowOff>85725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804C4AC3-BF85-9424-EADD-E605CAB25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FF"/>
                  </a:solidFill>
                  <a:latin typeface="Aptos Narrow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15</xdr:row>
          <xdr:rowOff>47625</xdr:rowOff>
        </xdr:from>
        <xdr:to>
          <xdr:col>7</xdr:col>
          <xdr:colOff>438150</xdr:colOff>
          <xdr:row>17</xdr:row>
          <xdr:rowOff>85725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78F2680B-1FF9-2B0B-0F93-A78E0BBEB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FF"/>
                  </a:solidFill>
                  <a:latin typeface="Aptos Narrow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15</xdr:row>
          <xdr:rowOff>47625</xdr:rowOff>
        </xdr:from>
        <xdr:to>
          <xdr:col>9</xdr:col>
          <xdr:colOff>533400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6CE598F1-D970-8E4B-052C-B9443A8BD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FF0000"/>
                  </a:solidFill>
                  <a:latin typeface="Aptos Narrow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148590</xdr:colOff>
      <xdr:row>52</xdr:row>
      <xdr:rowOff>135255</xdr:rowOff>
    </xdr:from>
    <xdr:ext cx="1619250" cy="375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24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es-CO" sz="2400" b="0" i="1">
                        <a:latin typeface="Cambria Math" panose="02040503050406030204" pitchFamily="18" charset="0"/>
                      </a:rPr>
                      <m:t>∗</m:t>
                    </m:r>
                    <m:sSup>
                      <m:sSupPr>
                        <m:ctrlPr>
                          <a:rPr lang="es-CO" sz="2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CO" sz="2400" b="0" i="0">
                            <a:latin typeface="Cambria Math" panose="02040503050406030204" pitchFamily="18" charset="0"/>
                          </a:rPr>
                          <m:t>kV</m:t>
                        </m:r>
                      </m:e>
                      <m:sup>
                        <m:r>
                          <a:rPr lang="es-CO" sz="2400" b="0" i="1">
                            <a:latin typeface="Cambria Math" panose="02040503050406030204" pitchFamily="18" charset="0"/>
                          </a:rPr>
                          <m:t>𝑏</m:t>
                        </m:r>
                      </m:sup>
                    </m:sSup>
                  </m:oMath>
                </m:oMathPara>
              </a14:m>
              <a:endParaRPr lang="es-CO" sz="2400" b="0" i="0">
                <a:latin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1">
              <a:extLst>
                <a:ext uri="{FF2B5EF4-FFF2-40B4-BE49-F238E27FC236}">
                  <a16:creationId xmlns:a16="http://schemas.microsoft.com/office/drawing/2014/main" id="{B8C58636-41A2-4047-AC05-9C9658B18FBE}"/>
                </a:ext>
              </a:extLst>
            </xdr:cNvPr>
            <xdr:cNvSpPr txBox="1"/>
          </xdr:nvSpPr>
          <xdr:spPr>
            <a:xfrm>
              <a:off x="3177540" y="9574530"/>
              <a:ext cx="1619250" cy="375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2400" b="0" i="0">
                  <a:latin typeface="Cambria Math" panose="02040503050406030204" pitchFamily="18" charset="0"/>
                </a:rPr>
                <a:t>𝑅=𝑎∗kV^𝑏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/>
  </sheetPr>
  <dimension ref="A1:AB999"/>
  <sheetViews>
    <sheetView zoomScale="80" zoomScaleNormal="80" workbookViewId="0">
      <selection activeCell="L6" sqref="L6:U17"/>
    </sheetView>
  </sheetViews>
  <sheetFormatPr baseColWidth="10" defaultColWidth="11.5" defaultRowHeight="18"/>
  <cols>
    <col min="1" max="1" width="4.625" style="5" customWidth="1"/>
    <col min="2" max="2" width="19.125" style="5" bestFit="1" customWidth="1"/>
    <col min="3" max="3" width="9.625" style="5" bestFit="1" customWidth="1"/>
    <col min="4" max="4" width="10.875" style="5" customWidth="1"/>
    <col min="5" max="5" width="13.625" style="5" customWidth="1"/>
    <col min="6" max="6" width="10.625" style="5" customWidth="1"/>
    <col min="7" max="7" width="10.5" style="5" customWidth="1"/>
    <col min="8" max="8" width="12" style="5" customWidth="1"/>
    <col min="9" max="9" width="13.875" style="5" customWidth="1"/>
    <col min="10" max="10" width="10" style="5" bestFit="1" customWidth="1"/>
    <col min="11" max="11" width="5.5" style="24" customWidth="1"/>
    <col min="12" max="19" width="5.625" style="5" customWidth="1"/>
    <col min="20" max="22" width="11.5" style="5"/>
    <col min="23" max="28" width="11.5" style="4"/>
    <col min="29" max="16384" width="11.5" style="5"/>
  </cols>
  <sheetData>
    <row r="1" spans="1:22" ht="18.75" thickBot="1">
      <c r="A1" s="4"/>
      <c r="B1" s="4"/>
      <c r="C1" s="4"/>
      <c r="D1" s="4"/>
      <c r="E1" s="4"/>
      <c r="F1" s="4"/>
      <c r="G1" s="4"/>
      <c r="H1" s="4"/>
      <c r="I1" s="4"/>
      <c r="J1" s="4"/>
      <c r="K1" s="22">
        <v>0.32</v>
      </c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6" customHeight="1" thickTop="1">
      <c r="A2" s="4"/>
      <c r="B2" s="18" t="s">
        <v>51</v>
      </c>
      <c r="C2" s="4"/>
      <c r="D2" s="75" t="s">
        <v>54</v>
      </c>
      <c r="E2" s="76"/>
      <c r="F2" s="76"/>
      <c r="G2" s="76"/>
      <c r="H2" s="76"/>
      <c r="I2" s="76"/>
      <c r="J2" s="4"/>
      <c r="K2" s="22">
        <v>0.37</v>
      </c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6" customHeight="1">
      <c r="A3" s="4"/>
      <c r="B3" s="19" t="s">
        <v>52</v>
      </c>
      <c r="C3" s="4"/>
      <c r="D3" s="75"/>
      <c r="E3" s="76"/>
      <c r="F3" s="76"/>
      <c r="G3" s="76"/>
      <c r="H3" s="76"/>
      <c r="I3" s="76"/>
      <c r="J3" s="4"/>
      <c r="K3" s="22">
        <v>0.09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6" customHeight="1">
      <c r="A4" s="4"/>
      <c r="B4" s="19" t="s">
        <v>50</v>
      </c>
      <c r="C4" s="21" t="str">
        <f>"** Estudio: "&amp;$C$7&amp;" **"&amp;CHAR(10)&amp;"Peso del paciente: "&amp;$H$6&amp;" Kg"&amp;CHAR(10)&amp;
IF(C$14&lt;&gt;0,"Dist: "&amp;$C$8&amp;"; Pos: "&amp;C$9&amp;"; kV: "&amp;C$10&amp;"; mAs: "&amp;C$11&amp;"; Img Apr: "&amp;C$12&amp;"; Img Rech: "&amp;C$13&amp;"; Dosis: "&amp;C$14&amp;" mGy","")&amp;
IF(D$14&lt;&gt;0,CHAR(10)&amp;"Dist: "&amp;$C$8&amp;"; Pos: "&amp;D$9&amp;"; kV: "&amp;D$10&amp;"; mAs: "&amp;D$11&amp;"; Img Apr: "&amp;D$12&amp;"; Img Rech: "&amp;D$13&amp;"; Dosis: "&amp;D$14&amp;" mGy","")&amp;
IF(E$14&lt;&gt;0,CHAR(10)&amp;"Dist: "&amp;$C$8&amp;"; Pos: "&amp;E$9&amp;"; kV: "&amp;E$10&amp;"; mAs: "&amp;E$11&amp;"; Img Apr: "&amp;E$12&amp;"; Img Rech: "&amp;E$13&amp;"; Dosis: "&amp;E$14&amp;" mGy","")&amp;
IF(F$14&lt;&gt;0,CHAR(10)&amp;"Dist: "&amp;$C$8&amp;"; Pos: "&amp;F$9&amp;"; kV: "&amp;F$10&amp;"; mAs: "&amp;F$11&amp;"; Img Apr: "&amp;F$12&amp;"; Img Rech: "&amp;F$13&amp;"; Dosis: "&amp;F$14&amp;" mGy","")&amp;
IF(G$14&lt;&gt;0,CHAR(10)&amp;"Dist: "&amp;$G$8&amp;"; Pos: "&amp;G$9&amp;"; kV: "&amp;G$10&amp;"; mAs: "&amp;G$11&amp;"; Img Apr: "&amp;G$12&amp;"; Img Rech: "&amp;G$13&amp;"; Dosis: "&amp;G$14&amp;" mGy","")&amp;
IF(H$14&lt;&gt;0,CHAR(10)&amp;"Dist: "&amp;$G$8&amp;"; Pos: "&amp;H$9&amp;"; kV: "&amp;H$10&amp;"; mAs: "&amp;H$11&amp;"; Img Apr: "&amp;H$12&amp;"; Img Rech: "&amp;H$13&amp;"; Dosis: "&amp;H$14&amp;" mGy","")&amp;
IF(I$14&lt;&gt;0,CHAR(10)&amp;"Dist: "&amp;$G$8&amp;"; Pos: "&amp;I$9&amp;"; kV: "&amp;I$10&amp;"; mAs: "&amp;I$11&amp;"; Img Apr: "&amp;I$12&amp;"; Img Rech: "&amp;I$13&amp;"; Dosis: "&amp;I$14&amp;" mGy","")&amp;
IF(J$14&lt;&gt;0,CHAR(10)&amp;"Dist: "&amp;$G$8&amp;"; Pos: "&amp;J$9&amp;"; kV: "&amp;J$10&amp;"; mAs: "&amp;J$11&amp;"; Img Apr: "&amp;J$12&amp;"; Img Rech: "&amp;J$13&amp;"; Dosis: "&amp;J$14&amp;" mGy","")&amp;
CHAR(10)&amp;"**Dosis total: "&amp;(C$14+D$14+E$14+F$14+G$14+H$14+I$14+J$14)&amp;" mGy**"</f>
        <v>** Estudio: Tórax **
Peso del paciente: 50 Kg
Dist: Bucky; Pos: AP-PA; kV: 90; mAs: 2; Img Apr: 1; Img Rech: 0; Dosis: 0,07 mGy
Dist: Bucky; Pos: Lateral; kV: 110; mAs: 5; Img Apr: 1; Img Rech: 0; Dosis: 0,29 mGy
**Dosis total: 0,36 mGy**</v>
      </c>
      <c r="D4" s="75"/>
      <c r="E4" s="76"/>
      <c r="F4" s="76"/>
      <c r="G4" s="76"/>
      <c r="H4" s="76"/>
      <c r="I4" s="76"/>
      <c r="J4" s="4"/>
      <c r="K4" s="22">
        <v>0.06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8.75" thickBot="1">
      <c r="A5" s="4"/>
      <c r="B5" s="10"/>
      <c r="C5" s="10"/>
      <c r="D5" s="10"/>
      <c r="E5" s="10"/>
      <c r="F5" s="10"/>
      <c r="G5" s="10"/>
      <c r="H5" s="10"/>
      <c r="I5" s="10"/>
      <c r="J5" s="10"/>
      <c r="K5" s="22">
        <v>0.36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8.600000000000001" customHeight="1" thickTop="1">
      <c r="A6" s="11"/>
      <c r="B6" s="89"/>
      <c r="C6" s="91" t="s">
        <v>36</v>
      </c>
      <c r="D6" s="92"/>
      <c r="E6" s="92"/>
      <c r="F6" s="92"/>
      <c r="G6" s="93"/>
      <c r="H6" s="94">
        <v>50</v>
      </c>
      <c r="I6" s="95"/>
      <c r="J6" s="96"/>
      <c r="K6" s="22"/>
      <c r="L6" s="80" t="s">
        <v>132</v>
      </c>
      <c r="M6" s="81"/>
      <c r="N6" s="81"/>
      <c r="O6" s="81"/>
      <c r="P6" s="81"/>
      <c r="Q6" s="81"/>
      <c r="R6" s="81"/>
      <c r="S6" s="81"/>
      <c r="T6" s="81"/>
      <c r="U6" s="82"/>
      <c r="V6" s="4"/>
    </row>
    <row r="7" spans="1:22" ht="19.5" customHeight="1">
      <c r="A7" s="11"/>
      <c r="B7" s="89"/>
      <c r="C7" s="97" t="s">
        <v>35</v>
      </c>
      <c r="D7" s="98"/>
      <c r="E7" s="98"/>
      <c r="F7" s="98"/>
      <c r="G7" s="98"/>
      <c r="H7" s="98"/>
      <c r="I7" s="98"/>
      <c r="J7" s="99"/>
      <c r="K7" s="22"/>
      <c r="L7" s="83"/>
      <c r="M7" s="84"/>
      <c r="N7" s="84"/>
      <c r="O7" s="84"/>
      <c r="P7" s="84"/>
      <c r="Q7" s="84"/>
      <c r="R7" s="84"/>
      <c r="S7" s="84"/>
      <c r="T7" s="84"/>
      <c r="U7" s="85"/>
      <c r="V7" s="4"/>
    </row>
    <row r="8" spans="1:22" ht="18.75" customHeight="1">
      <c r="A8" s="11"/>
      <c r="B8" s="90"/>
      <c r="C8" s="100" t="s">
        <v>1</v>
      </c>
      <c r="D8" s="100"/>
      <c r="E8" s="100"/>
      <c r="F8" s="100"/>
      <c r="G8" s="101" t="s">
        <v>2</v>
      </c>
      <c r="H8" s="102"/>
      <c r="I8" s="103"/>
      <c r="J8" s="104"/>
      <c r="K8" s="22"/>
      <c r="L8" s="83"/>
      <c r="M8" s="84"/>
      <c r="N8" s="84"/>
      <c r="O8" s="84"/>
      <c r="P8" s="84"/>
      <c r="Q8" s="84"/>
      <c r="R8" s="84"/>
      <c r="S8" s="84"/>
      <c r="T8" s="84"/>
      <c r="U8" s="85"/>
      <c r="V8" s="4"/>
    </row>
    <row r="9" spans="1:22">
      <c r="A9" s="11"/>
      <c r="B9" s="7" t="s">
        <v>5</v>
      </c>
      <c r="C9" s="3" t="str">
        <f>VLOOKUP($C$7,Parametros!$A$3:$E$50,2,FALSE)</f>
        <v>AP-PA</v>
      </c>
      <c r="D9" s="3" t="str">
        <f>VLOOKUP($C$7,Parametros!$A$3:$E$50,3,FALSE)</f>
        <v>Lateral</v>
      </c>
      <c r="E9" s="3" t="str">
        <f>VLOOKUP($C$7,Parametros!$A$3:$E$50,4,FALSE)</f>
        <v>-</v>
      </c>
      <c r="F9" s="3" t="str">
        <f>VLOOKUP($C$7,Parametros!$A$3:$E$50,5,FALSE)</f>
        <v>-</v>
      </c>
      <c r="G9" s="2" t="str">
        <f>VLOOKUP($C$7,Parametros!$A$3:$E$50,2,FALSE)</f>
        <v>AP-PA</v>
      </c>
      <c r="H9" s="2" t="str">
        <f>VLOOKUP($C$7,Parametros!$A$3:$E$50,3,FALSE)</f>
        <v>Lateral</v>
      </c>
      <c r="I9" s="2" t="str">
        <f>VLOOKUP($C$7,Parametros!$A$3:$E$50,4,FALSE)</f>
        <v>-</v>
      </c>
      <c r="J9" s="45" t="str">
        <f>VLOOKUP($C$7,Parametros!$A$3:$E$50,5,FALSE)</f>
        <v>-</v>
      </c>
      <c r="K9" s="22"/>
      <c r="L9" s="83"/>
      <c r="M9" s="84"/>
      <c r="N9" s="84"/>
      <c r="O9" s="84"/>
      <c r="P9" s="84"/>
      <c r="Q9" s="84"/>
      <c r="R9" s="84"/>
      <c r="S9" s="84"/>
      <c r="T9" s="84"/>
      <c r="U9" s="85"/>
      <c r="V9" s="4"/>
    </row>
    <row r="10" spans="1:22">
      <c r="A10" s="11"/>
      <c r="B10" s="7" t="s">
        <v>15</v>
      </c>
      <c r="C10" s="25">
        <v>90</v>
      </c>
      <c r="D10" s="25">
        <v>110</v>
      </c>
      <c r="E10" s="25">
        <v>0</v>
      </c>
      <c r="F10" s="25">
        <v>0</v>
      </c>
      <c r="G10" s="26"/>
      <c r="H10" s="25">
        <v>0</v>
      </c>
      <c r="I10" s="37">
        <v>0</v>
      </c>
      <c r="J10" s="27">
        <v>0</v>
      </c>
      <c r="K10" s="22"/>
      <c r="L10" s="83"/>
      <c r="M10" s="84"/>
      <c r="N10" s="84"/>
      <c r="O10" s="84"/>
      <c r="P10" s="84"/>
      <c r="Q10" s="84"/>
      <c r="R10" s="84"/>
      <c r="S10" s="84"/>
      <c r="T10" s="84"/>
      <c r="U10" s="85"/>
      <c r="V10" s="4"/>
    </row>
    <row r="11" spans="1:22">
      <c r="A11" s="11"/>
      <c r="B11" s="7" t="s">
        <v>7</v>
      </c>
      <c r="C11" s="28">
        <v>2</v>
      </c>
      <c r="D11" s="36">
        <v>5</v>
      </c>
      <c r="E11" s="36">
        <v>0</v>
      </c>
      <c r="F11" s="28">
        <v>0</v>
      </c>
      <c r="G11" s="29"/>
      <c r="H11" s="28">
        <v>0</v>
      </c>
      <c r="I11" s="36">
        <v>0</v>
      </c>
      <c r="J11" s="30">
        <v>0</v>
      </c>
      <c r="K11" s="22"/>
      <c r="L11" s="83"/>
      <c r="M11" s="84"/>
      <c r="N11" s="84"/>
      <c r="O11" s="84"/>
      <c r="P11" s="84"/>
      <c r="Q11" s="84"/>
      <c r="R11" s="84"/>
      <c r="S11" s="84"/>
      <c r="T11" s="84"/>
      <c r="U11" s="85"/>
      <c r="V11" s="4"/>
    </row>
    <row r="12" spans="1:22">
      <c r="A12" s="11"/>
      <c r="B12" s="7" t="s">
        <v>9</v>
      </c>
      <c r="C12" s="25">
        <v>1</v>
      </c>
      <c r="D12" s="37">
        <v>1</v>
      </c>
      <c r="E12" s="37">
        <v>0</v>
      </c>
      <c r="F12" s="25">
        <v>0</v>
      </c>
      <c r="G12" s="25"/>
      <c r="H12" s="26">
        <v>0</v>
      </c>
      <c r="I12" s="39">
        <v>0</v>
      </c>
      <c r="J12" s="27">
        <v>0</v>
      </c>
      <c r="K12" s="22"/>
      <c r="L12" s="83"/>
      <c r="M12" s="84"/>
      <c r="N12" s="84"/>
      <c r="O12" s="84"/>
      <c r="P12" s="84"/>
      <c r="Q12" s="84"/>
      <c r="R12" s="84"/>
      <c r="S12" s="84"/>
      <c r="T12" s="84"/>
      <c r="U12" s="85"/>
      <c r="V12" s="4"/>
    </row>
    <row r="13" spans="1:22">
      <c r="A13" s="11"/>
      <c r="B13" s="7" t="s">
        <v>11</v>
      </c>
      <c r="C13" s="31">
        <v>0</v>
      </c>
      <c r="D13" s="38">
        <v>0</v>
      </c>
      <c r="E13" s="38">
        <v>0</v>
      </c>
      <c r="F13" s="31">
        <v>0</v>
      </c>
      <c r="G13" s="31">
        <v>0</v>
      </c>
      <c r="H13" s="32">
        <v>0</v>
      </c>
      <c r="I13" s="40">
        <v>0</v>
      </c>
      <c r="J13" s="33">
        <v>0</v>
      </c>
      <c r="K13" s="22"/>
      <c r="L13" s="83"/>
      <c r="M13" s="84"/>
      <c r="N13" s="84"/>
      <c r="O13" s="84"/>
      <c r="P13" s="84"/>
      <c r="Q13" s="84"/>
      <c r="R13" s="84"/>
      <c r="S13" s="84"/>
      <c r="T13" s="84"/>
      <c r="U13" s="85"/>
      <c r="V13" s="4"/>
    </row>
    <row r="14" spans="1:22" ht="18.75" thickBot="1">
      <c r="A14" s="11"/>
      <c r="B14" s="20" t="s">
        <v>12</v>
      </c>
      <c r="C14" s="64">
        <f>IF(AND(H6&gt;=45,H6&lt;55),ROUND(($C$12+$C$13)*1.4*(VLOOKUP($D$2,Parametros!A54:C56,2,FALSE))*POWER($C$10,(VLOOKUP($D$2,Parametros!A54:C56,3,FALSE)))*C11*POWER(100/(VLOOKUP($C$7,Parametros!G3:M50,6,FALSE)-VLOOKUP($C$7,Parametros!G3:M50,2,FALSE)),2)/1000,2),
IF(AND(H6&gt;=55,H6&lt;65),ROUND(($C$12+$C$13)*1.4*(VLOOKUP($D$2,Parametros!A54:C56,2,FALSE))*POWER($C$10,(VLOOKUP($D$2,Parametros!A54:C56,3,FALSE)))*C11*POWER(100/(VLOOKUP($C$7,Parametros!O3:U50,6,FALSE)-VLOOKUP($C$7,Parametros!O3:U50,2,FALSE)),2)/1000,2),
IF(AND(H6&gt;=65,H6&lt;75),ROUND(($C$12+$C$13)*1.4*(VLOOKUP($D$2,Parametros!A54:C56,2,FALSE))*POWER($C$10,(VLOOKUP($D$2,Parametros!A54:C56,3,FALSE)))*C11*POWER(100/(VLOOKUP($C$7,Parametros!W3:AC50,6,FALSE)-VLOOKUP($C$7,Parametros!W3:AC50,2,FALSE)),2)/1000,2),
IF(AND(H6&gt;=75,H6&lt;85),ROUND(($C$12+$C$13)*1.4*(VLOOKUP($D$2,Parametros!A54:C56,2,FALSE))*POWER($C$10,(VLOOKUP($D$2,Parametros!A54:C56,3,FALSE)))*C11*POWER(100/(VLOOKUP($C$7,Parametros!AE3:AK50,6,FALSE)-VLOOKUP($C$7,Parametros!AE3:AK50,2,FALSE)),2)/1000,2),
IF(AND(H6&gt;=85,H6&lt;95),ROUND(($C$12+$C$13)*1.4*(VLOOKUP($D$2,Parametros!A54:C56,2,FALSE))*POWER($C$10,(VLOOKUP($D$2,Parametros!A54:C56,3,FALSE)))*C11*POWER(100/(VLOOKUP($C$7,Parametros!AM3:AS50,6,FALSE)-VLOOKUP($C$7,Parametros!AM3:AS50,2,FALSE)),2)/1000,2),
IF(AND(H6&gt;=95,H6&lt;105),ROUND(($C$12+$C$13)*1.4*(VLOOKUP($D$2,Parametros!A54:C56,2,FALSE))*POWER($C$10,(VLOOKUP($D$2,Parametros!A54:C56,3,FALSE)))*C11*POWER(100/(VLOOKUP($C$7,Parametros!AU3:BA50,6,FALSE)-VLOOKUP($C$7,Parametros!AU3:BA50,2,FALSE)),2)/1000,2),
IF(AND(H6&gt;=105,H6&lt;115),ROUND(($C$12+$C$13)*1.4*(VLOOKUP($D$2,Parametros!A54:C56,2,FALSE))*POWER($C$10,(VLOOKUP($D$2,Parametros!A54:C56,3,FALSE)))*C11*POWER(100/(VLOOKUP($C$7,Parametros!BC3:BI50,6,FALSE)-VLOOKUP($C$7,Parametros!BC3:BI50,2,FALSE)),2)/1000,2),
IF(AND(H6&gt;=115,H6&lt;=125),ROUND(($C$12+$C$13)*1.4*(VLOOKUP($D$2,Parametros!A54:C56,2,FALSE))*POWER($C$10,(VLOOKUP($D$2,Parametros!A54:C56,3,FALSE)))*C11*POWER(100/(VLOOKUP($C$7,Parametros!BK3:BQ50,6,FALSE)-VLOOKUP($C$7,Parametros!BK3:BQ50,2,FALSE)),2)/1000,2),
IF(H6=0,"","X")))))))))</f>
        <v>7.0000000000000007E-2</v>
      </c>
      <c r="D14" s="65">
        <f>IF(AND(H6&gt;=45,H6&lt;55),ROUND(($D$12+$D$13)*1.4*(VLOOKUP($D$2,Parametros!A54:C56,2,FALSE))*POWER($D$10,(VLOOKUP($D$2,Parametros!A54:C56,3,FALSE)))*D11*POWER(100/(VLOOKUP($C$7,Parametros!G3:M50,6,FALSE)-VLOOKUP($C$7,Parametros!G3:M50,3,FALSE)),2)/1000,2),
IF(AND(H6&gt;=55,H6&lt;65),ROUND(($D$12+$D$13)*1.4*(VLOOKUP($D$2,Parametros!A54:C56,2,FALSE))*POWER($D$10,(VLOOKUP($D$2,Parametros!A54:C56,3,FALSE)))*D11*POWER(100/(VLOOKUP($C$7,Parametros!O3:U50,6,FALSE)-VLOOKUP($C$7,Parametros!O3:U50,3,FALSE)),2)/1000,2),
IF(AND(H6&gt;=65,H6&lt;75),ROUND(($D$12+$D$13)*1.4*(VLOOKUP($D$2,Parametros!A54:C56,2,FALSE))*POWER($D$10,(VLOOKUP($D$2,Parametros!A54:C56,3,FALSE)))*D11*POWER(100/(VLOOKUP($C$7,Parametros!W3:AC50,6,FALSE)-VLOOKUP($C$7,Parametros!W3:AC50,3,FALSE)),2)/1000,2),
IF(AND(H6&gt;=75,H6&lt;85),ROUND(($D$12+$D$13)*1.4*(VLOOKUP($D$2,Parametros!A54:C56,2,FALSE))*POWER($D$10,(VLOOKUP($D$2,Parametros!A54:C56,3,FALSE)))*D11*POWER(100/(VLOOKUP($C$7,Parametros!AE3:AK50,6,FALSE)-VLOOKUP($C$7,Parametros!AE3:AK50,3,FALSE)),2)/1000,2),
IF(AND(H6&gt;=85,H6&lt;95),ROUND(($D$12+$D$13)*1.4*(VLOOKUP($D$2,Parametros!A54:C56,2,FALSE))*POWER($D$10,(VLOOKUP($D$2,Parametros!A54:C56,3,FALSE)))*D11*POWER(100/(VLOOKUP($C$7,Parametros!AM3:AS50,6,FALSE)-VLOOKUP($C$7,Parametros!AM3:AS50,3,FALSE)),2)/1000,2),
IF(AND(H6&gt;=95,H6&lt;105),ROUND(($D$12+$D$13)*1.4*(VLOOKUP($D$2,Parametros!A54:C56,2,FALSE))*POWER($D$10,(VLOOKUP($D$2,Parametros!A54:C56,3,FALSE)))*D11*POWER(100/(VLOOKUP($C$7,Parametros!AU3:BA50,6,FALSE)-VLOOKUP($C$7,Parametros!AU3:BA50,3,FALSE)),2)/1000,2),
IF(AND(H6&gt;=105,H6&lt;115),ROUND(($D$12+$D$13)*1.4*(VLOOKUP($D$2,Parametros!A54:C56,2,FALSE))*POWER($D$10,(VLOOKUP($D$2,Parametros!A54:C56,3,FALSE)))*D11*POWER(100/(VLOOKUP($C$7,Parametros!BC3:BI50,6,FALSE)-VLOOKUP($C$7,Parametros!BC3:BI50,3,FALSE)),2)/1000,2),
IF(AND(H6&gt;=115,H6&lt;=125),ROUND(($D$12+$D$13)*1.4*(VLOOKUP($D$2,Parametros!A54:C56,2,FALSE))*POWER($D$10,(VLOOKUP($D$2,Parametros!A54:C56,3,FALSE)))*D11*POWER(100/(VLOOKUP($C$7,Parametros!BK3:BQ50,6,FALSE)-VLOOKUP($C$7,Parametros!BK3:BQ50,3,FALSE)),2)/1000,2),IF(H6=0,"","X")))))))))</f>
        <v>0.28999999999999998</v>
      </c>
      <c r="E14" s="65">
        <f>IF(AND(H6&gt;=45,H6&lt;55),ROUND(($E$12+$E$13)*1.4*(VLOOKUP($D$2,Parametros!A54:C56,2,FALSE))*POWER($E$10,(VLOOKUP($D$2,Parametros!A54:C56,3,FALSE)))*E11*POWER(100/(VLOOKUP($C$7,Parametros!G3:M50,6,FALSE)-VLOOKUP($C$7,Parametros!G3:M50,4,FALSE)),2)/1000,2),
IF(AND(H6&gt;=55,H6&lt;65),ROUND(($E$12+$E$13)*1.4*(VLOOKUP($D$2,Parametros!A54:C56,2,FALSE))*POWER($E$10,(VLOOKUP($D$2,Parametros!A54:C56,3,FALSE)))*E11*POWER(100/(VLOOKUP($C$7,Parametros!O3:U50,6,FALSE)-VLOOKUP($C$7,Parametros!O3:U50,4,FALSE)),2)/1000,2),
IF(AND(H6&gt;=65,H6&lt;75),ROUND(($E$12+$E$13)*1.4*(VLOOKUP($D$2,Parametros!A54:C56,2,FALSE))*POWER($E$10,(VLOOKUP($D$2,Parametros!A54:C56,3,FALSE)))*E11*POWER(100/(VLOOKUP($C$7,Parametros!W3:AC50,6,FALSE)-VLOOKUP($C$7,Parametros!W3:AC50,4,FALSE)),2)/1000,2),
IF(AND(H6&gt;=75,H6&lt;85),ROUND(($E$12+$E$13)*1.4*(VLOOKUP($D$2,Parametros!A54:C56,2,FALSE))*POWER($E$10,(VLOOKUP($D$2,Parametros!A54:C56,3,FALSE)))*E11*POWER(100/(VLOOKUP($C$7,Parametros!AE3:AK50,6,FALSE)-VLOOKUP($C$7,Parametros!AE3:AK50,4,FALSE)),2)/1000,2),
IF(AND(H6&gt;=85,H6&lt;95),ROUND(($E$12+$E$13)*1.4*(VLOOKUP($D$2,Parametros!A54:C56,2,FALSE))*POWER($E$10,(VLOOKUP($D$2,Parametros!A54:C56,3,FALSE)))*E11*POWER(100/(VLOOKUP($C$7,Parametros!AM3:AS50,6,FALSE)-VLOOKUP($C$7,Parametros!AM3:AS50,4,FALSE)),2)/1000,2),
IF(AND(H6&gt;=95,H6&lt;105),ROUND(($E$12+$E$13)*1.4*(VLOOKUP($D$2,Parametros!A54:C56,2,FALSE))*POWER($E$10,(VLOOKUP($D$2,Parametros!A54:C56,3,FALSE)))*E11*POWER(100/(VLOOKUP($C$7,Parametros!AU3:BA50,6,FALSE)-VLOOKUP($C$7,Parametros!AU3:BA50,4,FALSE)),2)/1000,2),
IF(AND(H6&gt;=105,H6&lt;115),ROUND(($E$12+$E$13)*1.4*(VLOOKUP($D$2,Parametros!A54:C56,2,FALSE))*POWER($E$10,(VLOOKUP($D$2,Parametros!A54:C56,3,FALSE)))*E11*POWER(100/(VLOOKUP($C$7,Parametros!BC3:BI50,6,FALSE)-VLOOKUP($C$7,Parametros!BC3:BI50,4,FALSE)),2)/1000,2),
IF(AND(H6&gt;=115,H6&lt;=125),ROUND(($E$12+$E$13)*1.4*(VLOOKUP($D$2,Parametros!A54:C56,2,FALSE))*POWER($E$10,(VLOOKUP($D$2,Parametros!A54:C56,3,FALSE)))*E11*POWER(100/(VLOOKUP($C$7,Parametros!BK3:BQ50,6,FALSE)-VLOOKUP($C$7,Parametros!BK3:BQ50,4,FALSE)),2)/1000,2),IF(H6=0,"","X")))))))))</f>
        <v>0</v>
      </c>
      <c r="F14" s="65">
        <f>IF(AND(H6&gt;=45,H6&lt;55),ROUND(($F$12+$F$13)*1.4*(VLOOKUP($D$2,Parametros!A54:C56,2,FALSE))*POWER($F$10,(VLOOKUP($D$2,Parametros!A54:C56,3,FALSE)))*F11*POWER(100/(VLOOKUP($C$7,Parametros!G3:M50,6,FALSE)-VLOOKUP($C$7,Parametros!G3:M50,5,FALSE)),2)/1000,2),
IF(AND(H6&gt;=55,H6&lt;65),ROUND(($F$12+$F$13)*1.4*(VLOOKUP($D$2,Parametros!A54:C56,2,FALSE))*POWER($F$10,(VLOOKUP($D$2,Parametros!A54:C56,3,FALSE)))*F11*POWER(100/(VLOOKUP($C$7,Parametros!O3:U50,6,FALSE)-VLOOKUP($C$7,Parametros!O3:U50,5,FALSE)),2)/1000,2),
IF(AND(H6&gt;=65,H6&lt;75),ROUND(($F$12+$F$13)*1.4*(VLOOKUP($D$2,Parametros!A54:C56,2,FALSE))*POWER($F$10,(VLOOKUP($D$2,Parametros!A54:C56,3,FALSE)))*F11*POWER(100/(VLOOKUP($C$7,Parametros!W3:AC50,6,FALSE)-VLOOKUP($C$7,Parametros!W3:AC50,5,FALSE)),2)/1000,2),
IF(AND(H6&gt;=75,H6&lt;85),ROUND(($F$12+$F$13)*1.4*(VLOOKUP($D$2,Parametros!A54:C56,2,FALSE))*POWER($F$10,(VLOOKUP($D$2,Parametros!A54:C56,3,FALSE)))*F11*POWER(100/(VLOOKUP($C$7,Parametros!AE3:AK50,6,FALSE)-VLOOKUP($C$7,Parametros!AE3:AK50,5,FALSE)),2)/1000,2),
IF(AND(H6&gt;=85,H6&lt;95),ROUND(($F$12+$F$13)*1.4*(VLOOKUP($D$2,Parametros!A54:C56,2,FALSE))*POWER($F$10,(VLOOKUP($D$2,Parametros!A54:C56,3,FALSE)))*F11*POWER(100/(VLOOKUP($C$7,Parametros!AM3:AS50,6,FALSE)-VLOOKUP($C$7,Parametros!AM3:AS50,5,FALSE)),2)/1000,2),
IF(AND(H6&gt;=95,H6&lt;105),ROUND(($F$12+$F$13)*1.4*(VLOOKUP($D$2,Parametros!A54:C56,2,FALSE))*POWER($F$10,(VLOOKUP($D$2,Parametros!A54:C56,3,FALSE)))*F11*POWER(100/(VLOOKUP($C$7,Parametros!AU3:BA50,6,FALSE)-VLOOKUP($C$7,Parametros!AU3:BA50,5,FALSE)),2)/1000,2),
IF(AND(H6&gt;=105,H6&lt;115),ROUND(($F$12+$F$13)*1.4*(VLOOKUP($D$2,Parametros!A54:C56,2,FALSE))*POWER($F$10,(VLOOKUP($D$2,Parametros!A54:C56,3,FALSE)))*F11*POWER(100/(VLOOKUP($C$7,Parametros!BC3:BI50,6,FALSE)-VLOOKUP($C$7,Parametros!BC3:BI50,5,FALSE)),2)/1000,2),
IF(AND(H6&gt;=115,H6&lt;=125),ROUND(($F$12+$F$13)*1.4*(VLOOKUP($D$2,Parametros!A54:C56,2,FALSE))*POWER($F$10,(VLOOKUP($D$2,Parametros!A54:C56,3,FALSE)))*F11*POWER(100/(VLOOKUP($C$7,Parametros!BK3:BQ50,6,FALSE)-VLOOKUP($C$7,Parametros!BK3:BQ50,5,FALSE)),2)/1000,2),IF(H6=0,"","X")))))))))</f>
        <v>0</v>
      </c>
      <c r="G14" s="64">
        <f>IF(AND(H6&gt;=45,H6&lt;55),ROUND(($G$12+$G$13)*1.4*(VLOOKUP($D$2,Parametros!A54:C56,2,FALSE))*POWER($G$10,(VLOOKUP($D$2,Parametros!A54:C56,3,FALSE)))*G11*POWER(100/(VLOOKUP($C$7,Parametros!G3:M50,7,FALSE)-VLOOKUP($C$7,Parametros!G3:M50,2,FALSE)),2)/1000,2),
IF(AND(H6&gt;=55,H6&lt;65),ROUND(($G$12+$G$13)*1.4*(VLOOKUP($D$2,Parametros!A54:C56,2,FALSE))*POWER($G$10,(VLOOKUP($D$2,Parametros!A54:C56,3,FALSE)))*G11*POWER(100/(VLOOKUP($C$7,Parametros!O3:U50,7,FALSE)-VLOOKUP($C$7,Parametros!O3:U50,2,FALSE)),2)/1000,2),
IF(AND(H6&gt;=65,H6&lt;75),ROUND(($G$12+$G$13)*1.4*(VLOOKUP($D$2,Parametros!A54:C56,2,FALSE))*POWER($G$10,(VLOOKUP($D$2,Parametros!A54:C56,3,FALSE)))*G11*POWER(100/(VLOOKUP($C$7,Parametros!W3:AC50,7,FALSE)-VLOOKUP($C$7,Parametros!W3:AC50,2,FALSE)),2)/1000,2),
IF(AND(H6&gt;=75,H6&lt;85),ROUND(($G$12+$G$13)*1.4*(VLOOKUP($D$2,Parametros!A54:C56,2,FALSE))*POWER($G$10,(VLOOKUP($D$2,Parametros!A54:C56,3,FALSE)))*G11*POWER(100/(VLOOKUP($C$7,Parametros!AE3:AK50,7,FALSE)-VLOOKUP($C$7,Parametros!AE3:AK50,2,FALSE)),2)/1000,2),
IF(AND(H6&gt;=85,H6&lt;95),ROUND(($G$12+$G$13)*1.4*(VLOOKUP($D$2,Parametros!A54:C56,2,FALSE))*POWER($G$10,(VLOOKUP($D$2,Parametros!A54:C56,3,FALSE)))*G11*POWER(100/(VLOOKUP($C$7,Parametros!AM3:AS50,7,FALSE)-VLOOKUP($C$7,Parametros!AM3:AS50,2,FALSE)),2)/1000,2),
IF(AND(H6&gt;=95,H6&lt;105),ROUND(($G$12+$G$13)*1.4*(VLOOKUP($D$2,Parametros!A54:C56,2,FALSE))*POWER($G$10,(VLOOKUP($D$2,Parametros!A54:C56,3,FALSE)))*G11*POWER(100/(VLOOKUP($C$7,Parametros!AU3:BA50,7,FALSE)-VLOOKUP($C$7,Parametros!AU3:BA50,2,FALSE)),2)/1000,2),
IF(AND(H6&gt;=105,H6&lt;115),ROUND(($G$12+$G$13)*1.4*(VLOOKUP($D$2,Parametros!A54:C56,2,FALSE))*POWER($G$10,(VLOOKUP($D$2,Parametros!A54:C56,3,FALSE)))*G11*POWER(100/(VLOOKUP($C$7,Parametros!BC3:BI50,7,FALSE)-VLOOKUP($C$7,Parametros!BC3:BI50,2,FALSE)),2)/1000,2),
IF(AND(H6&gt;=115,H6&lt;=125),ROUND(($G$12+$G$13)*1.4*(VLOOKUP($D$2,Parametros!A54:C56,2,FALSE))*POWER($G$10,(VLOOKUP($D$2,Parametros!A54:C56,3,FALSE)))*G11*POWER(100/(VLOOKUP($C$7,Parametros!BK3:BQ50,7,FALSE)-VLOOKUP($C$7,Parametros!BK3:BQ50,2,FALSE)),2)/1000,2),IF(H6=0,"","X")))))))))</f>
        <v>0</v>
      </c>
      <c r="H14" s="65">
        <f>IF(AND(H6&gt;=45,H6&lt;55),ROUND(($H$12+$H$13)*1.4*(VLOOKUP($D$2,Parametros!A54:C56,2,FALSE))*POWER($H$10,(VLOOKUP($D$2,Parametros!A54:C56,3,FALSE)))*H11*POWER(100/(VLOOKUP($C$7,Parametros!G3:M50,7,FALSE)-VLOOKUP($C$7,Parametros!G3:M50,3,FALSE)),2)/1000,2),
IF(AND(H6&gt;=55,H6&lt;65),ROUND(($H$12+$H$13)*1.4*(VLOOKUP($D$2,Parametros!A54:C56,2,FALSE))*POWER($H$10,(VLOOKUP($D$2,Parametros!A54:C56,3,FALSE)))*H11*POWER(100/(VLOOKUP($C$7,Parametros!O3:U50,7,FALSE)-VLOOKUP($C$7,Parametros!O3:U50,3,FALSE)),2)/1000,2),
IF(AND(H6&gt;=65,H6&lt;75),ROUND(($H$12+$H$13)*1.4*(VLOOKUP($D$2,Parametros!A54:C56,2,FALSE))*POWER($H$10,(VLOOKUP($D$2,Parametros!A54:C56,3,FALSE)))*H11*POWER(100/(VLOOKUP($C$7,Parametros!W3:AC50,7,FALSE)-VLOOKUP($C$7,Parametros!W3:AC50,3,FALSE)),2)/1000,2),
IF(AND(H6&gt;=75,H6&lt;85),ROUND(($H$12+$H$13)*1.4*(VLOOKUP($D$2,Parametros!A54:C56,2,FALSE))*POWER($H$10,(VLOOKUP($D$2,Parametros!A54:C56,3,FALSE)))*H11*POWER(100/(VLOOKUP($C$7,Parametros!AE3:AK50,7,FALSE)-VLOOKUP($C$7,Parametros!AE3:AK50,3,FALSE)),2)/1000,2),
IF(AND(H6&gt;=85,H6&lt;95),ROUND(($H$12+$H$13)*1.4*(VLOOKUP($D$2,Parametros!A54:C56,2,FALSE))*POWER($H$10,(VLOOKUP($D$2,Parametros!A54:C56,3,FALSE)))*H11*POWER(100/(VLOOKUP($C$7,Parametros!AM3:AS50,7,FALSE)-VLOOKUP($C$7,Parametros!AM3:AS50,3,FALSE)),2)/1000,2),
IF(AND(H6&gt;=95,H6&lt;105),ROUND(($H$12+$H$13)*1.4*(VLOOKUP($D$2,Parametros!A54:C56,2,FALSE))*POWER($H$10,(VLOOKUP($D$2,Parametros!A54:C56,3,FALSE)))*H11*POWER(100/(VLOOKUP($C$7,Parametros!AU3:BA50,7,FALSE)-VLOOKUP($C$7,Parametros!AU3:BA50,3,FALSE)),2)/1000,2),
IF(AND(H6&gt;=105,H6&lt;115),ROUND(($H$12+$H$13)*1.4*(VLOOKUP($D$2,Parametros!A54:C56,2,FALSE))*POWER($H$10,(VLOOKUP($D$2,Parametros!A54:C56,3,FALSE)))*H11*POWER(100/(VLOOKUP($C$7,Parametros!BC3:BI50,7,FALSE)-VLOOKUP($C$7,Parametros!BC3:BI50,3,FALSE)),2)/1000,2),
IF(AND(H6&gt;=115,H6&lt;=125),ROUND(($H$12+$H$13)*1.4*(VLOOKUP($D$2,Parametros!A54:C56,2,FALSE))*POWER($H$10,(VLOOKUP($D$2,Parametros!A54:C56,3,FALSE)))*H11*POWER(100/(VLOOKUP($C$7,Parametros!BK3:BQ50,7,FALSE)-VLOOKUP($C$7,Parametros!BK3:BQ50,3,FALSE)),2)/1000,2),IF(H6=0,"","X")))))))))</f>
        <v>0</v>
      </c>
      <c r="I14" s="65">
        <f>IF(AND(H6&gt;=45,H6&lt;55),ROUND(($I$12+$I$13)*1.4*(VLOOKUP($D$2,Parametros!A54:C56,2,FALSE))*POWER($I$10,(VLOOKUP($D$2,Parametros!A54:C56,3,FALSE)))*I11*POWER(100/(VLOOKUP($C$7,Parametros!G3:M50,7,FALSE)-VLOOKUP($C$7,Parametros!G3:M50,4,FALSE)),2)/1000,2),
IF(AND(H6&gt;=55,H6&lt;65),ROUND(($I$12+$I$13)*1.4*(VLOOKUP($D$2,Parametros!A54:C56,2,FALSE))*POWER($I$10,(VLOOKUP($D$2,Parametros!A54:C56,3,FALSE)))*I11*POWER(100/(VLOOKUP($C$7,Parametros!O3:U50,7,FALSE)-VLOOKUP($C$7,Parametros!O3:U50,4,FALSE)),2)/1000,2),
IF(AND(H6&gt;=65,H6&lt;75),ROUND(($I$12+$I$13)*1.4*(VLOOKUP($D$2,Parametros!A54:C56,2,FALSE))*POWER($I$10,(VLOOKUP($D$2,Parametros!A54:C56,3,FALSE)))*I11*POWER(100/(VLOOKUP($C$7,Parametros!W3:AC50,7,FALSE)-VLOOKUP($C$7,Parametros!W3:AC50,4,FALSE)),2)/1000,2),
IF(AND(H6&gt;=75,H6&lt;85),ROUND(($I$12+$I$13)*1.4*(VLOOKUP($D$2,Parametros!A54:C56,2,FALSE))*POWER($I$10,(VLOOKUP($D$2,Parametros!A54:C56,3,FALSE)))*I11*POWER(100/(VLOOKUP($C$7,Parametros!AE3:AK50,7,FALSE)-VLOOKUP($C$7,Parametros!AE3:AK50,4,FALSE)),2)/1000,2),
IF(AND(H6&gt;=85,H6&lt;95),ROUND(($I$12+$I$13)*1.4*(VLOOKUP($D$2,Parametros!A54:C56,2,FALSE))*POWER($I$10,(VLOOKUP($D$2,Parametros!A54:C56,3,FALSE)))*I11*POWER(100/(VLOOKUP($C$7,Parametros!AM3:AS50,7,FALSE)-VLOOKUP($C$7,Parametros!AM3:AS50,4,FALSE)),2)/1000,2),
IF(AND(H6&gt;=95,H6&lt;105),ROUND(($I$12+$I$13)*1.4*(VLOOKUP($D$2,Parametros!A54:C56,2,FALSE))*POWER($I$10,(VLOOKUP($D$2,Parametros!A54:C56,3,FALSE)))*I11*POWER(100/(VLOOKUP($C$7,Parametros!AU3:BA50,7,FALSE)-VLOOKUP($C$7,Parametros!AU3:BA50,4,FALSE)),2)/1000,2),
IF(AND(H6&gt;=105,H6&lt;115),ROUND(($I$12+$I$13)*1.4*(VLOOKUP($D$2,Parametros!A54:C56,2,FALSE))*POWER($I$10,(VLOOKUP($D$2,Parametros!A54:C56,3,FALSE)))*I11*POWER(100/(VLOOKUP($C$7,Parametros!BC3:BI50,7,FALSE)-VLOOKUP($C$7,Parametros!BC3:BI50,4,FALSE)),2)/1000,2),
IF(AND(H6&gt;=115,H6&lt;=125),ROUND(($I$12+$I$13)*1.4*(VLOOKUP($D$2,Parametros!A54:C56,2,FALSE))*POWER($I$10,(VLOOKUP($D$2,Parametros!A54:C56,3,FALSE)))*I11*POWER(100/(VLOOKUP($C$7,Parametros!BK3:BQ50,7,FALSE)-VLOOKUP($C$7,Parametros!BK3:BQ50,4,FALSE)),2)/1000,2),IF(H6=0,"","X")))))))))</f>
        <v>0</v>
      </c>
      <c r="J14" s="66">
        <f>IF(AND(H6&gt;=45,H6&lt;55),ROUND(($J$12+$J$13)*1.4*(VLOOKUP($D$2,Parametros!A54:C56,2,FALSE))*POWER($J$10,(VLOOKUP($D$2,Parametros!A54:C56,3,FALSE)))*J11*POWER(100/(VLOOKUP($C$7,Parametros!G3:M50,7,FALSE)-VLOOKUP($C$7,Parametros!G3:M50,5,FALSE)),2)/1000,2),
IF(AND(H6&gt;=55,H6&lt;65),ROUND(($J$12+$J$13)*1.4*(VLOOKUP($D$2,Parametros!A54:C56,2,FALSE))*POWER($J$10,(VLOOKUP($D$2,Parametros!A54:C56,3,FALSE)))*J11*POWER(100/(VLOOKUP($C$7,Parametros!O3:U50,7,FALSE)-VLOOKUP($C$7,Parametros!O3:U50,5,FALSE)),2)/1000,2),
IF(AND(H6&gt;=65,H6&lt;75),ROUND(($J$12+$J$13)*1.4*(VLOOKUP($D$2,Parametros!A54:C56,2,FALSE))*POWER($J$10,(VLOOKUP($D$2,Parametros!A54:C56,3,FALSE)))*J11*POWER(100/(VLOOKUP($C$7,Parametros!W3:AC50,7,FALSE)-VLOOKUP($C$7,Parametros!W3:AC50,5,FALSE)),2)/1000,2),
IF(AND(H6&gt;=75,H6&lt;85),ROUND(($J$12+$J$13)*1.4*(VLOOKUP($D$2,Parametros!A54:C56,2,FALSE))*POWER($J$10,(VLOOKUP($D$2,Parametros!A54:C56,3,FALSE)))*J11*POWER(100/(VLOOKUP($C$7,Parametros!AE3:AK50,7,FALSE)-VLOOKUP($C$7,Parametros!AE3:AK50,5,FALSE)),2)/1000,2),
IF(AND(H6&gt;=85,H6&lt;95),ROUND(($J$12+$J$13)*1.4*(VLOOKUP($D$2,Parametros!A54:C56,2,FALSE))*POWER($J$10,(VLOOKUP($D$2,Parametros!A54:C56,3,FALSE)))*J11*POWER(100/(VLOOKUP($C$7,Parametros!AM3:AS50,7,FALSE)-VLOOKUP($C$7,Parametros!AM3:AS50,5,FALSE)),2)/1000,2),
IF(AND(H6&gt;=95,H6&lt;105),ROUND(($J$12+$J$13)*1.4*(VLOOKUP($D$2,Parametros!A54:C56,2,FALSE))*POWER($J$10,(VLOOKUP($D$2,Parametros!A54:C56,3,FALSE)))*J11*POWER(100/(VLOOKUP($C$7,Parametros!AU3:BA50,7,FALSE)-VLOOKUP($C$7,Parametros!AU3:BA50,5,FALSE)),2)/1000,2),
IF(AND(H6&gt;=105,H6&lt;115),ROUND(($J$12+$J$13)*1.4*(VLOOKUP($D$2,Parametros!A54:C56,2,FALSE))*POWER($J$10,(VLOOKUP($D$2,Parametros!A54:C56,3,FALSE)))*J11*POWER(100/(VLOOKUP($C$7,Parametros!BC3:BI50,7,FALSE)-VLOOKUP($C$7,Parametros!BC3:BI50,5,FALSE)),2)/1000,2),
IF(AND(H6&gt;=115,H6&lt;=125),ROUND(($J$12+$J$13)*1.4*(VLOOKUP($D$2,Parametros!A54:C56,2,FALSE))*POWER($J$10,(VLOOKUP($D$2,Parametros!A54:C56,3,FALSE)))*J11*POWER(100/(VLOOKUP($C$7,Parametros!BK3:BQ50,7,FALSE)-VLOOKUP($C$7,Parametros!BK3:BQ50,5,FALSE)),2)/1000,2),IF(H6=0,"","X")))))))))</f>
        <v>0</v>
      </c>
      <c r="K14" s="22"/>
      <c r="L14" s="83"/>
      <c r="M14" s="84"/>
      <c r="N14" s="84"/>
      <c r="O14" s="84"/>
      <c r="P14" s="84"/>
      <c r="Q14" s="84"/>
      <c r="R14" s="84"/>
      <c r="S14" s="84"/>
      <c r="T14" s="84"/>
      <c r="U14" s="85"/>
      <c r="V14" s="4"/>
    </row>
    <row r="15" spans="1:22" ht="19.5" thickTop="1">
      <c r="A15" s="4"/>
      <c r="B15" s="6"/>
      <c r="C15" s="6"/>
      <c r="D15" s="6"/>
      <c r="E15" s="6"/>
      <c r="F15" s="6"/>
      <c r="G15" s="6"/>
      <c r="H15" s="6"/>
      <c r="I15" s="6"/>
      <c r="J15" s="6"/>
      <c r="K15" s="22"/>
      <c r="L15" s="83"/>
      <c r="M15" s="84"/>
      <c r="N15" s="84"/>
      <c r="O15" s="84"/>
      <c r="P15" s="84"/>
      <c r="Q15" s="84"/>
      <c r="R15" s="84"/>
      <c r="S15" s="84"/>
      <c r="T15" s="84"/>
      <c r="U15" s="85"/>
      <c r="V15" s="4"/>
    </row>
    <row r="16" spans="1:22">
      <c r="A16" s="4"/>
      <c r="B16" s="4"/>
      <c r="C16" s="4"/>
      <c r="D16" s="4"/>
      <c r="E16" s="4"/>
      <c r="F16" s="4"/>
      <c r="G16" s="4"/>
      <c r="H16" s="4"/>
      <c r="I16" s="4"/>
      <c r="J16" s="4"/>
      <c r="K16" s="22"/>
      <c r="L16" s="83"/>
      <c r="M16" s="84"/>
      <c r="N16" s="84"/>
      <c r="O16" s="84"/>
      <c r="P16" s="84"/>
      <c r="Q16" s="84"/>
      <c r="R16" s="84"/>
      <c r="S16" s="84"/>
      <c r="T16" s="84"/>
      <c r="U16" s="85"/>
      <c r="V16" s="4"/>
    </row>
    <row r="17" spans="1:22" ht="18.75" thickBot="1">
      <c r="A17" s="4"/>
      <c r="B17" s="4"/>
      <c r="C17" s="4"/>
      <c r="D17" s="4"/>
      <c r="E17" s="4"/>
      <c r="F17" s="4"/>
      <c r="G17" s="4"/>
      <c r="H17" s="4"/>
      <c r="I17" s="4"/>
      <c r="J17" s="4"/>
      <c r="K17" s="22"/>
      <c r="L17" s="86"/>
      <c r="M17" s="87"/>
      <c r="N17" s="87"/>
      <c r="O17" s="87"/>
      <c r="P17" s="87"/>
      <c r="Q17" s="87"/>
      <c r="R17" s="87"/>
      <c r="S17" s="87"/>
      <c r="T17" s="87"/>
      <c r="U17" s="88"/>
      <c r="V17" s="4"/>
    </row>
    <row r="18" spans="1:22" ht="19.5" thickTop="1" thickBot="1">
      <c r="A18" s="4"/>
      <c r="B18" s="4"/>
      <c r="C18" s="4"/>
      <c r="D18" s="4"/>
      <c r="E18" s="4"/>
      <c r="F18" s="4"/>
      <c r="G18" s="4"/>
      <c r="H18" s="4"/>
      <c r="I18" s="4"/>
      <c r="J18" s="4"/>
      <c r="K18" s="22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9.5" thickTop="1" thickBot="1">
      <c r="A19" s="4"/>
      <c r="B19" s="4"/>
      <c r="C19" s="4"/>
      <c r="D19" s="4"/>
      <c r="E19" s="4"/>
      <c r="F19" s="4"/>
      <c r="G19" s="4"/>
      <c r="H19" s="4"/>
      <c r="I19" s="4"/>
      <c r="J19" s="4"/>
      <c r="K19" s="22"/>
      <c r="L19" s="77" t="s">
        <v>128</v>
      </c>
      <c r="M19" s="78"/>
      <c r="N19" s="78"/>
      <c r="O19" s="78"/>
      <c r="P19" s="79"/>
      <c r="Q19" s="4"/>
      <c r="R19" s="4"/>
      <c r="S19" s="4"/>
      <c r="T19" s="4"/>
      <c r="U19" s="4"/>
      <c r="V19" s="4"/>
    </row>
    <row r="20" spans="1:22" ht="18.75" thickTop="1">
      <c r="A20" s="4"/>
      <c r="B20" s="4"/>
      <c r="C20" s="4"/>
      <c r="D20" s="4"/>
      <c r="E20" s="4"/>
      <c r="F20" s="4"/>
      <c r="G20" s="4"/>
      <c r="H20" s="4"/>
      <c r="I20" s="4"/>
      <c r="J20" s="4"/>
      <c r="K20" s="22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>
      <c r="A21" s="4"/>
      <c r="B21" s="4"/>
      <c r="C21" s="4"/>
      <c r="D21" s="4"/>
      <c r="E21" s="4"/>
      <c r="F21" s="4"/>
      <c r="G21" s="4"/>
      <c r="H21" s="4"/>
      <c r="I21" s="4"/>
      <c r="J21" s="4"/>
      <c r="K21" s="22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>
      <c r="A22" s="4"/>
      <c r="B22" s="4"/>
      <c r="C22" s="4"/>
      <c r="D22" s="4"/>
      <c r="E22" s="4"/>
      <c r="F22" s="4"/>
      <c r="G22" s="4"/>
      <c r="H22" s="4"/>
      <c r="I22" s="4"/>
      <c r="J22" s="4"/>
      <c r="K22" s="22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>
      <c r="A23" s="4"/>
      <c r="B23" s="4"/>
      <c r="C23" s="4"/>
      <c r="D23" s="4"/>
      <c r="E23" s="4"/>
      <c r="F23" s="4"/>
      <c r="G23" s="4"/>
      <c r="H23" s="4"/>
      <c r="I23" s="4"/>
      <c r="J23" s="4"/>
      <c r="K23" s="22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>
      <c r="A24" s="4"/>
      <c r="B24" s="4"/>
      <c r="C24" s="4"/>
      <c r="D24" s="4"/>
      <c r="E24" s="4"/>
      <c r="F24" s="4"/>
      <c r="G24" s="4"/>
      <c r="H24" s="4"/>
      <c r="I24" s="4"/>
      <c r="J24" s="4"/>
      <c r="K24" s="22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>
      <c r="A25" s="4"/>
      <c r="B25" s="4"/>
      <c r="C25" s="4"/>
      <c r="D25" s="4"/>
      <c r="E25" s="4"/>
      <c r="F25" s="4"/>
      <c r="G25" s="4"/>
      <c r="H25" s="4"/>
      <c r="I25" s="4"/>
      <c r="J25" s="4"/>
      <c r="K25" s="22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>
      <c r="A26" s="4"/>
      <c r="B26" s="4"/>
      <c r="C26" s="4"/>
      <c r="D26" s="4"/>
      <c r="E26" s="4"/>
      <c r="F26" s="4"/>
      <c r="G26" s="4"/>
      <c r="H26" s="4"/>
      <c r="I26" s="4"/>
      <c r="J26" s="4"/>
      <c r="K26" s="22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>
      <c r="A27" s="4"/>
      <c r="B27" s="4"/>
      <c r="C27" s="4"/>
      <c r="D27" s="4"/>
      <c r="E27" s="4"/>
      <c r="F27" s="4"/>
      <c r="G27" s="4"/>
      <c r="H27" s="4"/>
      <c r="I27" s="4"/>
      <c r="J27" s="4"/>
      <c r="K27" s="22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>
      <c r="A28" s="4"/>
      <c r="B28" s="4"/>
      <c r="C28" s="4"/>
      <c r="D28" s="4"/>
      <c r="E28" s="4"/>
      <c r="F28" s="4"/>
      <c r="G28" s="4"/>
      <c r="H28" s="4"/>
      <c r="I28" s="4"/>
      <c r="J28" s="4"/>
      <c r="K28" s="22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>
      <c r="A29" s="4"/>
      <c r="B29" s="4"/>
      <c r="C29" s="4"/>
      <c r="D29" s="4"/>
      <c r="E29" s="4"/>
      <c r="F29" s="4"/>
      <c r="G29" s="4"/>
      <c r="H29" s="4"/>
      <c r="I29" s="4"/>
      <c r="J29" s="4"/>
      <c r="K29" s="22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>
      <c r="A30" s="4"/>
      <c r="B30" s="4"/>
      <c r="C30" s="4"/>
      <c r="D30" s="4"/>
      <c r="E30" s="4"/>
      <c r="F30" s="4"/>
      <c r="G30" s="4"/>
      <c r="H30" s="4"/>
      <c r="I30" s="4"/>
      <c r="J30" s="4"/>
      <c r="K30" s="22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>
      <c r="A31" s="4"/>
      <c r="B31" s="4"/>
      <c r="C31" s="4"/>
      <c r="D31" s="4"/>
      <c r="E31" s="4"/>
      <c r="F31" s="4"/>
      <c r="G31" s="4"/>
      <c r="H31" s="4"/>
      <c r="I31" s="4"/>
      <c r="J31" s="4"/>
      <c r="K31" s="22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>
      <c r="A32" s="4"/>
      <c r="B32" s="4"/>
      <c r="C32" s="4"/>
      <c r="D32" s="4"/>
      <c r="E32" s="4"/>
      <c r="F32" s="4"/>
      <c r="G32" s="4"/>
      <c r="H32" s="4"/>
      <c r="I32" s="4"/>
      <c r="J32" s="4"/>
      <c r="K32" s="22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>
      <c r="A33" s="4"/>
      <c r="B33" s="4"/>
      <c r="C33" s="4"/>
      <c r="D33" s="4"/>
      <c r="E33" s="4"/>
      <c r="F33" s="4"/>
      <c r="G33" s="4"/>
      <c r="H33" s="4"/>
      <c r="I33" s="4"/>
      <c r="J33" s="4"/>
      <c r="K33" s="22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>
      <c r="A34" s="4"/>
      <c r="B34" s="4"/>
      <c r="C34" s="4"/>
      <c r="D34" s="4"/>
      <c r="E34" s="4"/>
      <c r="F34" s="4"/>
      <c r="G34" s="4"/>
      <c r="H34" s="4"/>
      <c r="I34" s="4"/>
      <c r="J34" s="4"/>
      <c r="K34" s="22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>
      <c r="A35" s="4"/>
      <c r="B35" s="4"/>
      <c r="C35" s="4"/>
      <c r="D35" s="4"/>
      <c r="E35" s="4"/>
      <c r="F35" s="4"/>
      <c r="G35" s="4"/>
      <c r="H35" s="4"/>
      <c r="I35" s="4"/>
      <c r="J35" s="4"/>
      <c r="K35" s="22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1:22">
      <c r="A36" s="4"/>
      <c r="B36" s="4"/>
      <c r="C36" s="4"/>
      <c r="D36" s="4"/>
      <c r="E36" s="4"/>
      <c r="F36" s="4"/>
      <c r="G36" s="4"/>
      <c r="H36" s="4"/>
      <c r="I36" s="4"/>
      <c r="J36" s="4"/>
      <c r="K36" s="22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1:22">
      <c r="A37" s="4"/>
      <c r="B37" s="4"/>
      <c r="C37" s="4"/>
      <c r="D37" s="4"/>
      <c r="E37" s="4"/>
      <c r="F37" s="4"/>
      <c r="G37" s="4"/>
      <c r="H37" s="4"/>
      <c r="I37" s="4"/>
      <c r="J37" s="4"/>
      <c r="K37" s="22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1:22">
      <c r="A38" s="4"/>
      <c r="B38" s="4"/>
      <c r="C38" s="4"/>
      <c r="D38" s="4"/>
      <c r="E38" s="4"/>
      <c r="F38" s="4"/>
      <c r="G38" s="4"/>
      <c r="H38" s="4"/>
      <c r="I38" s="4"/>
      <c r="J38" s="4"/>
      <c r="K38" s="22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1:22">
      <c r="A39" s="4"/>
      <c r="B39" s="4"/>
      <c r="C39" s="4"/>
      <c r="D39" s="4"/>
      <c r="E39" s="4"/>
      <c r="F39" s="4"/>
      <c r="G39" s="4"/>
      <c r="H39" s="4"/>
      <c r="I39" s="4"/>
      <c r="J39" s="4"/>
      <c r="K39" s="22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1:22">
      <c r="A40" s="4"/>
      <c r="B40" s="4"/>
      <c r="C40" s="4"/>
      <c r="D40" s="4"/>
      <c r="E40" s="4"/>
      <c r="F40" s="4"/>
      <c r="G40" s="4"/>
      <c r="H40" s="4"/>
      <c r="I40" s="4"/>
      <c r="J40" s="4"/>
      <c r="K40" s="22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1:22">
      <c r="A41" s="4"/>
      <c r="B41" s="4"/>
      <c r="C41" s="4"/>
      <c r="D41" s="4"/>
      <c r="E41" s="4"/>
      <c r="F41" s="4"/>
      <c r="G41" s="4"/>
      <c r="H41" s="4"/>
      <c r="I41" s="4"/>
      <c r="J41" s="4"/>
      <c r="K41" s="22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1:22">
      <c r="A42" s="4"/>
      <c r="B42" s="4"/>
      <c r="C42" s="4"/>
      <c r="D42" s="4"/>
      <c r="E42" s="4"/>
      <c r="F42" s="4"/>
      <c r="G42" s="4"/>
      <c r="H42" s="4"/>
      <c r="I42" s="4"/>
      <c r="J42" s="4"/>
      <c r="K42" s="22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22">
      <c r="A43" s="4"/>
      <c r="B43" s="4"/>
      <c r="C43" s="4"/>
      <c r="D43" s="4"/>
      <c r="E43" s="4"/>
      <c r="F43" s="4"/>
      <c r="G43" s="4"/>
      <c r="H43" s="4"/>
      <c r="I43" s="4"/>
      <c r="J43" s="4"/>
      <c r="K43" s="22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1:22">
      <c r="A44" s="4"/>
      <c r="B44" s="4"/>
      <c r="C44" s="4"/>
      <c r="D44" s="4"/>
      <c r="E44" s="4"/>
      <c r="F44" s="4"/>
      <c r="G44" s="4"/>
      <c r="H44" s="4"/>
      <c r="I44" s="4"/>
      <c r="J44" s="4"/>
      <c r="K44" s="22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1:22">
      <c r="A45" s="4"/>
      <c r="B45" s="4"/>
      <c r="C45" s="4"/>
      <c r="D45" s="4"/>
      <c r="E45" s="4"/>
      <c r="F45" s="4"/>
      <c r="G45" s="4"/>
      <c r="H45" s="4"/>
      <c r="I45" s="4"/>
      <c r="J45" s="4"/>
      <c r="K45" s="22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1:22">
      <c r="A46" s="4"/>
      <c r="B46" s="4"/>
      <c r="C46" s="4"/>
      <c r="D46" s="4"/>
      <c r="E46" s="4"/>
      <c r="F46" s="4"/>
      <c r="G46" s="4"/>
      <c r="H46" s="4"/>
      <c r="I46" s="4"/>
      <c r="J46" s="4"/>
      <c r="K46" s="22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1:22">
      <c r="A47" s="4"/>
      <c r="B47" s="4"/>
      <c r="C47" s="4"/>
      <c r="D47" s="4"/>
      <c r="E47" s="4"/>
      <c r="F47" s="4"/>
      <c r="G47" s="4"/>
      <c r="H47" s="4"/>
      <c r="I47" s="4"/>
      <c r="J47" s="4"/>
      <c r="K47" s="22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1:22">
      <c r="A48" s="4"/>
      <c r="B48" s="4"/>
      <c r="C48" s="4"/>
      <c r="D48" s="4"/>
      <c r="E48" s="4"/>
      <c r="F48" s="4"/>
      <c r="G48" s="4"/>
      <c r="H48" s="4"/>
      <c r="I48" s="4"/>
      <c r="J48" s="4"/>
      <c r="K48" s="22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1:22">
      <c r="A49" s="4"/>
      <c r="B49" s="4"/>
      <c r="C49" s="4"/>
      <c r="D49" s="4"/>
      <c r="E49" s="4"/>
      <c r="F49" s="4"/>
      <c r="G49" s="4"/>
      <c r="H49" s="4"/>
      <c r="I49" s="4"/>
      <c r="J49" s="4"/>
      <c r="K49" s="22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>
      <c r="A50" s="4"/>
      <c r="B50" s="4"/>
      <c r="C50" s="4"/>
      <c r="D50" s="4"/>
      <c r="E50" s="4"/>
      <c r="F50" s="4"/>
      <c r="G50" s="4"/>
      <c r="H50" s="4"/>
      <c r="I50" s="4"/>
      <c r="J50" s="4"/>
      <c r="K50" s="22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>
      <c r="A51" s="4"/>
      <c r="B51" s="4"/>
      <c r="C51" s="4"/>
      <c r="D51" s="4"/>
      <c r="E51" s="4"/>
      <c r="F51" s="4"/>
      <c r="G51" s="4"/>
      <c r="H51" s="4"/>
      <c r="I51" s="4"/>
      <c r="J51" s="4"/>
      <c r="K51" s="22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>
      <c r="A52" s="4"/>
      <c r="B52" s="4"/>
      <c r="C52" s="4"/>
      <c r="D52" s="4"/>
      <c r="E52" s="4"/>
      <c r="F52" s="4"/>
      <c r="G52" s="4"/>
      <c r="H52" s="4"/>
      <c r="I52" s="4"/>
      <c r="J52" s="4"/>
      <c r="K52" s="22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>
      <c r="A53" s="4"/>
      <c r="B53" s="4"/>
      <c r="C53" s="4"/>
      <c r="D53" s="4"/>
      <c r="E53" s="4"/>
      <c r="F53" s="4"/>
      <c r="G53" s="4"/>
      <c r="H53" s="4"/>
      <c r="I53" s="4"/>
      <c r="J53" s="4"/>
      <c r="K53" s="22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>
      <c r="A54" s="4"/>
      <c r="B54" s="4"/>
      <c r="C54" s="4"/>
      <c r="D54" s="4"/>
      <c r="E54" s="4"/>
      <c r="F54" s="4"/>
      <c r="G54" s="4"/>
      <c r="H54" s="4"/>
      <c r="I54" s="4"/>
      <c r="J54" s="4"/>
      <c r="K54" s="22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>
      <c r="A55" s="4"/>
      <c r="B55" s="4"/>
      <c r="C55" s="4"/>
      <c r="D55" s="4"/>
      <c r="E55" s="4"/>
      <c r="F55" s="4"/>
      <c r="G55" s="4"/>
      <c r="H55" s="4"/>
      <c r="I55" s="4"/>
      <c r="J55" s="4"/>
      <c r="K55" s="22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>
      <c r="A56" s="4"/>
      <c r="B56" s="4"/>
      <c r="C56" s="4"/>
      <c r="D56" s="4"/>
      <c r="E56" s="4"/>
      <c r="F56" s="4"/>
      <c r="G56" s="4"/>
      <c r="H56" s="4"/>
      <c r="I56" s="4"/>
      <c r="J56" s="4"/>
      <c r="K56" s="22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>
      <c r="A57" s="4"/>
      <c r="B57" s="4"/>
      <c r="C57" s="4"/>
      <c r="D57" s="4"/>
      <c r="E57" s="4"/>
      <c r="F57" s="4"/>
      <c r="G57" s="4"/>
      <c r="H57" s="4"/>
      <c r="I57" s="4"/>
      <c r="J57" s="4"/>
      <c r="K57" s="22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>
      <c r="A58" s="4"/>
      <c r="B58" s="4"/>
      <c r="C58" s="4"/>
      <c r="D58" s="4"/>
      <c r="E58" s="4"/>
      <c r="F58" s="4"/>
      <c r="G58" s="4"/>
      <c r="H58" s="4"/>
      <c r="I58" s="4"/>
      <c r="J58" s="4"/>
      <c r="K58" s="22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>
      <c r="A59" s="4"/>
      <c r="B59" s="4"/>
      <c r="C59" s="4"/>
      <c r="D59" s="4"/>
      <c r="E59" s="4"/>
      <c r="F59" s="4"/>
      <c r="G59" s="4"/>
      <c r="H59" s="4"/>
      <c r="I59" s="4"/>
      <c r="J59" s="4"/>
      <c r="K59" s="22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>
      <c r="A60" s="4"/>
      <c r="B60" s="4"/>
      <c r="C60" s="4"/>
      <c r="D60" s="4"/>
      <c r="E60" s="4"/>
      <c r="F60" s="4"/>
      <c r="G60" s="4"/>
      <c r="H60" s="4"/>
      <c r="I60" s="4"/>
      <c r="J60" s="4"/>
      <c r="K60" s="22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>
      <c r="A61" s="4"/>
      <c r="B61" s="4"/>
      <c r="C61" s="4"/>
      <c r="D61" s="4"/>
      <c r="E61" s="4"/>
      <c r="F61" s="4"/>
      <c r="G61" s="4"/>
      <c r="H61" s="4"/>
      <c r="I61" s="4"/>
      <c r="J61" s="4"/>
      <c r="K61" s="22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>
      <c r="A62" s="4"/>
      <c r="B62" s="4"/>
      <c r="C62" s="4"/>
      <c r="D62" s="4"/>
      <c r="E62" s="4"/>
      <c r="F62" s="4"/>
      <c r="G62" s="4"/>
      <c r="H62" s="4"/>
      <c r="I62" s="4"/>
      <c r="J62" s="4"/>
      <c r="K62" s="22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>
      <c r="A63" s="4"/>
      <c r="B63" s="4"/>
      <c r="C63" s="4"/>
      <c r="D63" s="4"/>
      <c r="E63" s="4"/>
      <c r="F63" s="4"/>
      <c r="G63" s="4"/>
      <c r="H63" s="4"/>
      <c r="I63" s="4"/>
      <c r="J63" s="4"/>
      <c r="K63" s="22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>
      <c r="A64" s="4"/>
      <c r="B64" s="4"/>
      <c r="C64" s="4"/>
      <c r="D64" s="4"/>
      <c r="E64" s="4"/>
      <c r="F64" s="4"/>
      <c r="G64" s="4"/>
      <c r="H64" s="4"/>
      <c r="I64" s="4"/>
      <c r="J64" s="4"/>
      <c r="K64" s="22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>
      <c r="A65" s="4"/>
      <c r="B65" s="4"/>
      <c r="C65" s="4"/>
      <c r="D65" s="4"/>
      <c r="E65" s="4"/>
      <c r="F65" s="4"/>
      <c r="G65" s="4"/>
      <c r="H65" s="4"/>
      <c r="I65" s="4"/>
      <c r="J65" s="4"/>
      <c r="K65" s="22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>
      <c r="A66" s="4"/>
      <c r="B66" s="4"/>
      <c r="C66" s="4"/>
      <c r="D66" s="4"/>
      <c r="E66" s="4"/>
      <c r="F66" s="4"/>
      <c r="G66" s="4"/>
      <c r="H66" s="4"/>
      <c r="I66" s="4"/>
      <c r="J66" s="4"/>
      <c r="K66" s="22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>
      <c r="A67" s="4"/>
      <c r="B67" s="4"/>
      <c r="C67" s="4"/>
      <c r="D67" s="4"/>
      <c r="E67" s="4"/>
      <c r="F67" s="4"/>
      <c r="G67" s="4"/>
      <c r="H67" s="4"/>
      <c r="I67" s="4"/>
      <c r="J67" s="4"/>
      <c r="K67" s="22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>
      <c r="A68" s="4"/>
      <c r="B68" s="4"/>
      <c r="C68" s="4"/>
      <c r="D68" s="4"/>
      <c r="E68" s="4"/>
      <c r="F68" s="4"/>
      <c r="G68" s="4"/>
      <c r="H68" s="4"/>
      <c r="I68" s="4"/>
      <c r="J68" s="4"/>
      <c r="K68" s="22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>
      <c r="A69" s="4"/>
      <c r="B69" s="4"/>
      <c r="C69" s="4"/>
      <c r="D69" s="4"/>
      <c r="E69" s="4"/>
      <c r="F69" s="4"/>
      <c r="G69" s="4"/>
      <c r="H69" s="4"/>
      <c r="I69" s="4"/>
      <c r="J69" s="4"/>
      <c r="K69" s="22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>
      <c r="A70" s="4"/>
      <c r="B70" s="4"/>
      <c r="C70" s="4"/>
      <c r="D70" s="4"/>
      <c r="E70" s="4"/>
      <c r="F70" s="4"/>
      <c r="G70" s="4"/>
      <c r="H70" s="4"/>
      <c r="I70" s="4"/>
      <c r="J70" s="4"/>
      <c r="K70" s="22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>
      <c r="A71" s="4"/>
      <c r="B71" s="4"/>
      <c r="C71" s="4"/>
      <c r="D71" s="4"/>
      <c r="E71" s="4"/>
      <c r="F71" s="4"/>
      <c r="G71" s="4"/>
      <c r="H71" s="4"/>
      <c r="I71" s="4"/>
      <c r="J71" s="4"/>
      <c r="K71" s="22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>
      <c r="A72" s="4"/>
      <c r="B72" s="4"/>
      <c r="C72" s="4"/>
      <c r="D72" s="4"/>
      <c r="E72" s="4"/>
      <c r="F72" s="4"/>
      <c r="G72" s="4"/>
      <c r="H72" s="4"/>
      <c r="I72" s="4"/>
      <c r="J72" s="4"/>
      <c r="K72" s="22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</row>
    <row r="73" spans="1:22">
      <c r="A73" s="4"/>
      <c r="B73" s="4"/>
      <c r="C73" s="4"/>
      <c r="D73" s="4"/>
      <c r="E73" s="4"/>
      <c r="F73" s="4"/>
      <c r="G73" s="4"/>
      <c r="H73" s="4"/>
      <c r="I73" s="4"/>
      <c r="J73" s="4"/>
      <c r="K73" s="22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</row>
    <row r="74" spans="1:22">
      <c r="A74" s="4"/>
      <c r="B74" s="4"/>
      <c r="C74" s="4"/>
      <c r="D74" s="4"/>
      <c r="E74" s="4"/>
      <c r="F74" s="4"/>
      <c r="G74" s="4"/>
      <c r="H74" s="4"/>
      <c r="I74" s="4"/>
      <c r="J74" s="4"/>
      <c r="K74" s="22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</row>
    <row r="75" spans="1:22">
      <c r="A75" s="4"/>
      <c r="B75" s="4"/>
      <c r="C75" s="4"/>
      <c r="D75" s="4"/>
      <c r="E75" s="4"/>
      <c r="F75" s="4"/>
      <c r="G75" s="4"/>
      <c r="H75" s="4"/>
      <c r="I75" s="4"/>
      <c r="J75" s="4"/>
      <c r="K75" s="22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</row>
    <row r="76" spans="1:22">
      <c r="A76" s="4"/>
      <c r="B76" s="4"/>
      <c r="C76" s="4"/>
      <c r="D76" s="4"/>
      <c r="E76" s="4"/>
      <c r="F76" s="4"/>
      <c r="G76" s="4"/>
      <c r="H76" s="4"/>
      <c r="I76" s="4"/>
      <c r="J76" s="4"/>
      <c r="K76" s="22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</row>
    <row r="77" spans="1:22">
      <c r="A77" s="4"/>
      <c r="B77" s="4"/>
      <c r="C77" s="4"/>
      <c r="D77" s="4"/>
      <c r="E77" s="4"/>
      <c r="F77" s="4"/>
      <c r="G77" s="4"/>
      <c r="H77" s="4"/>
      <c r="I77" s="4"/>
      <c r="J77" s="4"/>
      <c r="K77" s="22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</row>
    <row r="78" spans="1:22">
      <c r="A78" s="4"/>
      <c r="B78" s="4"/>
      <c r="C78" s="4"/>
      <c r="D78" s="4"/>
      <c r="E78" s="4"/>
      <c r="F78" s="4"/>
      <c r="G78" s="4"/>
      <c r="H78" s="4"/>
      <c r="I78" s="4"/>
      <c r="J78" s="4"/>
      <c r="K78" s="22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</row>
    <row r="79" spans="1:22">
      <c r="A79" s="4"/>
      <c r="B79" s="4"/>
      <c r="C79" s="4"/>
      <c r="D79" s="4"/>
      <c r="E79" s="4"/>
      <c r="F79" s="4"/>
      <c r="G79" s="4"/>
      <c r="H79" s="4"/>
      <c r="I79" s="4"/>
      <c r="J79" s="4"/>
      <c r="K79" s="22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</row>
    <row r="80" spans="1:22">
      <c r="A80" s="4"/>
      <c r="B80" s="4"/>
      <c r="C80" s="4"/>
      <c r="D80" s="4"/>
      <c r="E80" s="4"/>
      <c r="F80" s="4"/>
      <c r="G80" s="4"/>
      <c r="H80" s="4"/>
      <c r="I80" s="4"/>
      <c r="J80" s="4"/>
      <c r="K80" s="22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>
      <c r="A81" s="4"/>
      <c r="B81" s="4"/>
      <c r="C81" s="4"/>
      <c r="D81" s="4"/>
      <c r="E81" s="4"/>
      <c r="F81" s="4"/>
      <c r="G81" s="4"/>
      <c r="H81" s="4"/>
      <c r="I81" s="4"/>
      <c r="J81" s="4"/>
      <c r="K81" s="22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>
      <c r="A82" s="4"/>
      <c r="B82" s="4"/>
      <c r="C82" s="4"/>
      <c r="D82" s="4"/>
      <c r="E82" s="4"/>
      <c r="F82" s="4"/>
      <c r="G82" s="4"/>
      <c r="H82" s="4"/>
      <c r="I82" s="4"/>
      <c r="J82" s="4"/>
      <c r="K82" s="22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>
      <c r="A83" s="4"/>
      <c r="B83" s="4"/>
      <c r="C83" s="4"/>
      <c r="D83" s="4"/>
      <c r="E83" s="4"/>
      <c r="F83" s="4"/>
      <c r="G83" s="4"/>
      <c r="H83" s="4"/>
      <c r="I83" s="4"/>
      <c r="J83" s="4"/>
      <c r="K83" s="22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>
      <c r="A84" s="4"/>
      <c r="B84" s="4"/>
      <c r="C84" s="4"/>
      <c r="D84" s="4"/>
      <c r="E84" s="4"/>
      <c r="F84" s="4"/>
      <c r="G84" s="4"/>
      <c r="H84" s="4"/>
      <c r="I84" s="4"/>
      <c r="J84" s="4"/>
      <c r="K84" s="22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>
      <c r="A85" s="4"/>
      <c r="B85" s="4"/>
      <c r="C85" s="4"/>
      <c r="D85" s="4"/>
      <c r="E85" s="4"/>
      <c r="F85" s="4"/>
      <c r="G85" s="4"/>
      <c r="H85" s="4"/>
      <c r="I85" s="4"/>
      <c r="J85" s="4"/>
      <c r="K85" s="22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>
      <c r="A86" s="4"/>
      <c r="B86" s="4"/>
      <c r="C86" s="4"/>
      <c r="D86" s="4"/>
      <c r="E86" s="4"/>
      <c r="F86" s="4"/>
      <c r="G86" s="4"/>
      <c r="H86" s="4"/>
      <c r="I86" s="4"/>
      <c r="J86" s="4"/>
      <c r="K86" s="22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>
      <c r="A87" s="4"/>
      <c r="B87" s="4"/>
      <c r="C87" s="4"/>
      <c r="D87" s="4"/>
      <c r="E87" s="4"/>
      <c r="F87" s="4"/>
      <c r="G87" s="4"/>
      <c r="H87" s="4"/>
      <c r="I87" s="4"/>
      <c r="J87" s="4"/>
      <c r="K87" s="22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>
      <c r="A88" s="4"/>
      <c r="B88" s="4"/>
      <c r="C88" s="4"/>
      <c r="D88" s="4"/>
      <c r="E88" s="4"/>
      <c r="F88" s="4"/>
      <c r="G88" s="4"/>
      <c r="H88" s="4"/>
      <c r="I88" s="4"/>
      <c r="J88" s="4"/>
      <c r="K88" s="22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>
      <c r="A89" s="4"/>
      <c r="B89" s="4"/>
      <c r="C89" s="4"/>
      <c r="D89" s="4"/>
      <c r="E89" s="4"/>
      <c r="F89" s="4"/>
      <c r="G89" s="4"/>
      <c r="H89" s="4"/>
      <c r="I89" s="4"/>
      <c r="J89" s="4"/>
      <c r="K89" s="22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>
      <c r="A90" s="4"/>
      <c r="B90" s="4"/>
      <c r="C90" s="4"/>
      <c r="D90" s="4"/>
      <c r="E90" s="4"/>
      <c r="F90" s="4"/>
      <c r="G90" s="4"/>
      <c r="H90" s="4"/>
      <c r="I90" s="4"/>
      <c r="J90" s="4"/>
      <c r="K90" s="22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>
      <c r="A91" s="4"/>
      <c r="B91" s="4"/>
      <c r="C91" s="4"/>
      <c r="D91" s="4"/>
      <c r="E91" s="4"/>
      <c r="F91" s="4"/>
      <c r="G91" s="4"/>
      <c r="H91" s="4"/>
      <c r="I91" s="4"/>
      <c r="J91" s="4"/>
      <c r="K91" s="22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>
      <c r="A92" s="4"/>
      <c r="B92" s="4"/>
      <c r="C92" s="4"/>
      <c r="D92" s="4"/>
      <c r="E92" s="4"/>
      <c r="F92" s="4"/>
      <c r="G92" s="4"/>
      <c r="H92" s="4"/>
      <c r="I92" s="4"/>
      <c r="J92" s="4"/>
      <c r="K92" s="22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>
      <c r="A93" s="4"/>
      <c r="B93" s="4"/>
      <c r="C93" s="4"/>
      <c r="D93" s="4"/>
      <c r="E93" s="4"/>
      <c r="F93" s="4"/>
      <c r="G93" s="4"/>
      <c r="H93" s="4"/>
      <c r="I93" s="4"/>
      <c r="J93" s="4"/>
      <c r="K93" s="22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</row>
    <row r="94" spans="1:22">
      <c r="A94" s="4"/>
      <c r="B94" s="4"/>
      <c r="C94" s="4"/>
      <c r="D94" s="4"/>
      <c r="E94" s="4"/>
      <c r="F94" s="4"/>
      <c r="G94" s="4"/>
      <c r="H94" s="4"/>
      <c r="I94" s="4"/>
      <c r="J94" s="4"/>
      <c r="K94" s="22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22">
      <c r="A95" s="4"/>
      <c r="B95" s="4"/>
      <c r="C95" s="4"/>
      <c r="D95" s="4"/>
      <c r="E95" s="4"/>
      <c r="F95" s="4"/>
      <c r="G95" s="4"/>
      <c r="H95" s="4"/>
      <c r="I95" s="4"/>
      <c r="J95" s="4"/>
      <c r="K95" s="22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</row>
    <row r="96" spans="1:22">
      <c r="A96" s="4"/>
      <c r="B96" s="4"/>
      <c r="C96" s="4"/>
      <c r="D96" s="4"/>
      <c r="E96" s="4"/>
      <c r="F96" s="4"/>
      <c r="G96" s="4"/>
      <c r="H96" s="4"/>
      <c r="I96" s="4"/>
      <c r="J96" s="4"/>
      <c r="K96" s="22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</row>
    <row r="97" spans="1:22">
      <c r="A97" s="4"/>
      <c r="B97" s="4"/>
      <c r="C97" s="4"/>
      <c r="D97" s="4"/>
      <c r="E97" s="4"/>
      <c r="F97" s="4"/>
      <c r="G97" s="4"/>
      <c r="H97" s="4"/>
      <c r="I97" s="4"/>
      <c r="J97" s="4"/>
      <c r="K97" s="22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</row>
    <row r="98" spans="1:22">
      <c r="A98" s="4"/>
      <c r="B98" s="4"/>
      <c r="C98" s="4"/>
      <c r="D98" s="4"/>
      <c r="E98" s="4"/>
      <c r="F98" s="4"/>
      <c r="G98" s="4"/>
      <c r="H98" s="4"/>
      <c r="I98" s="4"/>
      <c r="J98" s="4"/>
      <c r="K98" s="22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</row>
    <row r="99" spans="1:22">
      <c r="A99" s="4"/>
      <c r="B99" s="4"/>
      <c r="C99" s="4"/>
      <c r="D99" s="4"/>
      <c r="E99" s="4"/>
      <c r="F99" s="4"/>
      <c r="G99" s="4"/>
      <c r="H99" s="4"/>
      <c r="I99" s="4"/>
      <c r="J99" s="4"/>
      <c r="K99" s="22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2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22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</row>
    <row r="101" spans="1:2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22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</row>
    <row r="102" spans="1:2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2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</row>
    <row r="103" spans="1:2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22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</row>
    <row r="104" spans="1:2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22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</row>
    <row r="105" spans="1:2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22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</row>
    <row r="106" spans="1:2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22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</row>
    <row r="107" spans="1:2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22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</row>
    <row r="108" spans="1:2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22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</row>
    <row r="109" spans="1:2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22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</row>
    <row r="110" spans="1:2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22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</row>
    <row r="111" spans="1:2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22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</row>
    <row r="112" spans="1:2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22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</row>
    <row r="113" spans="1:2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22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</row>
    <row r="114" spans="1:2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22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</row>
    <row r="115" spans="1:2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22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</row>
    <row r="116" spans="1:2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22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</row>
    <row r="117" spans="1:2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22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</row>
    <row r="118" spans="1:2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22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</row>
    <row r="119" spans="1:2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22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</row>
    <row r="120" spans="1:2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22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</row>
    <row r="121" spans="1:2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22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</row>
    <row r="122" spans="1:2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22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</row>
    <row r="123" spans="1:2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22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</row>
    <row r="124" spans="1:2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22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</row>
    <row r="125" spans="1:2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22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</row>
    <row r="126" spans="1:2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22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</row>
    <row r="127" spans="1:2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22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</row>
    <row r="128" spans="1:2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22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</row>
    <row r="129" spans="1:2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22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</row>
    <row r="130" spans="1:2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22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</row>
    <row r="131" spans="1:2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22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</row>
    <row r="132" spans="1:2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22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</row>
    <row r="133" spans="1:2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22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</row>
    <row r="134" spans="1:2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22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</row>
    <row r="135" spans="1:2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22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</row>
    <row r="136" spans="1:2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22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</row>
    <row r="137" spans="1:2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22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</row>
    <row r="138" spans="1:2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22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</row>
    <row r="139" spans="1:2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22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</row>
    <row r="140" spans="1:2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22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</row>
    <row r="141" spans="1:2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22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</row>
    <row r="142" spans="1:2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22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</row>
    <row r="143" spans="1:2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22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</row>
    <row r="144" spans="1:2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22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</row>
    <row r="145" spans="1:2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22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</row>
    <row r="146" spans="1:2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22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</row>
    <row r="147" spans="1:2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22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</row>
    <row r="148" spans="1:2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22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</row>
    <row r="149" spans="1:2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22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</row>
    <row r="150" spans="1:2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22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</row>
    <row r="151" spans="1:2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22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</row>
    <row r="152" spans="1:2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22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</row>
    <row r="153" spans="1:2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22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</row>
    <row r="154" spans="1:2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22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</row>
    <row r="155" spans="1:2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22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</row>
    <row r="156" spans="1:2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22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</row>
    <row r="157" spans="1:2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22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</row>
    <row r="158" spans="1:2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22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</row>
    <row r="159" spans="1:2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22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</row>
    <row r="160" spans="1:2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22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</row>
    <row r="161" spans="1:2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22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</row>
    <row r="162" spans="1:2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22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</row>
    <row r="163" spans="1:2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22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</row>
    <row r="164" spans="1:2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22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</row>
    <row r="165" spans="1:2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22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</row>
    <row r="166" spans="1:2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22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</row>
    <row r="167" spans="1:2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22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</row>
    <row r="168" spans="1:2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22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</row>
    <row r="169" spans="1:2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22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</row>
    <row r="170" spans="1:2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22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</row>
    <row r="171" spans="1:2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22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</row>
    <row r="172" spans="1:2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22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</row>
    <row r="173" spans="1:2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22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</row>
    <row r="174" spans="1:2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22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</row>
    <row r="175" spans="1:2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22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</row>
    <row r="176" spans="1:2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22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</row>
    <row r="177" spans="1:2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22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</row>
    <row r="178" spans="1:2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22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</row>
    <row r="179" spans="1:2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22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</row>
    <row r="180" spans="1:2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22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</row>
    <row r="181" spans="1:2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22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</row>
    <row r="182" spans="1:2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22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</row>
    <row r="183" spans="1:2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22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</row>
    <row r="184" spans="1:2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22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</row>
    <row r="185" spans="1:2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22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</row>
    <row r="186" spans="1:2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22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</row>
    <row r="187" spans="1:2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22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</row>
    <row r="188" spans="1:2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22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</row>
    <row r="189" spans="1:2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22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</row>
    <row r="190" spans="1:2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22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</row>
    <row r="191" spans="1:2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22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</row>
    <row r="192" spans="1:2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22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</row>
    <row r="193" spans="1:2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22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</row>
    <row r="194" spans="1:2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22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</row>
    <row r="195" spans="1:2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22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</row>
    <row r="196" spans="1:2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22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</row>
    <row r="197" spans="1:2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22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</row>
    <row r="198" spans="1:2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22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</row>
    <row r="199" spans="1:2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22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</row>
    <row r="200" spans="1:22">
      <c r="K200" s="23"/>
    </row>
    <row r="201" spans="1:22">
      <c r="K201" s="23"/>
    </row>
    <row r="202" spans="1:22">
      <c r="K202" s="23"/>
    </row>
    <row r="203" spans="1:22">
      <c r="K203" s="23"/>
    </row>
    <row r="204" spans="1:22">
      <c r="K204" s="23"/>
    </row>
    <row r="205" spans="1:22">
      <c r="K205" s="23"/>
    </row>
    <row r="206" spans="1:22">
      <c r="K206" s="23"/>
    </row>
    <row r="207" spans="1:22">
      <c r="K207" s="23"/>
    </row>
    <row r="208" spans="1:22">
      <c r="K208" s="23"/>
    </row>
    <row r="209" spans="11:11">
      <c r="K209" s="23"/>
    </row>
    <row r="210" spans="11:11">
      <c r="K210" s="23"/>
    </row>
    <row r="211" spans="11:11">
      <c r="K211" s="23"/>
    </row>
    <row r="212" spans="11:11">
      <c r="K212" s="23"/>
    </row>
    <row r="213" spans="11:11">
      <c r="K213" s="23"/>
    </row>
    <row r="214" spans="11:11">
      <c r="K214" s="23"/>
    </row>
    <row r="215" spans="11:11">
      <c r="K215" s="23"/>
    </row>
    <row r="216" spans="11:11">
      <c r="K216" s="23"/>
    </row>
    <row r="217" spans="11:11">
      <c r="K217" s="23"/>
    </row>
    <row r="218" spans="11:11">
      <c r="K218" s="23"/>
    </row>
    <row r="219" spans="11:11">
      <c r="K219" s="23"/>
    </row>
    <row r="220" spans="11:11">
      <c r="K220" s="23"/>
    </row>
    <row r="221" spans="11:11">
      <c r="K221" s="23"/>
    </row>
    <row r="222" spans="11:11">
      <c r="K222" s="23"/>
    </row>
    <row r="223" spans="11:11">
      <c r="K223" s="23"/>
    </row>
    <row r="224" spans="11:11">
      <c r="K224" s="23"/>
    </row>
    <row r="225" spans="11:11">
      <c r="K225" s="23"/>
    </row>
    <row r="226" spans="11:11">
      <c r="K226" s="23"/>
    </row>
    <row r="227" spans="11:11">
      <c r="K227" s="23"/>
    </row>
    <row r="228" spans="11:11">
      <c r="K228" s="23"/>
    </row>
    <row r="229" spans="11:11">
      <c r="K229" s="23"/>
    </row>
    <row r="230" spans="11:11">
      <c r="K230" s="23"/>
    </row>
    <row r="231" spans="11:11">
      <c r="K231" s="23"/>
    </row>
    <row r="232" spans="11:11">
      <c r="K232" s="23"/>
    </row>
    <row r="233" spans="11:11">
      <c r="K233" s="23"/>
    </row>
    <row r="234" spans="11:11">
      <c r="K234" s="23"/>
    </row>
    <row r="235" spans="11:11">
      <c r="K235" s="23"/>
    </row>
    <row r="236" spans="11:11">
      <c r="K236" s="23"/>
    </row>
    <row r="237" spans="11:11">
      <c r="K237" s="23"/>
    </row>
    <row r="238" spans="11:11">
      <c r="K238" s="23"/>
    </row>
    <row r="239" spans="11:11">
      <c r="K239" s="23"/>
    </row>
    <row r="240" spans="11:11">
      <c r="K240" s="23"/>
    </row>
    <row r="241" spans="11:11">
      <c r="K241" s="23"/>
    </row>
    <row r="242" spans="11:11">
      <c r="K242" s="23"/>
    </row>
    <row r="243" spans="11:11">
      <c r="K243" s="23"/>
    </row>
    <row r="244" spans="11:11">
      <c r="K244" s="23"/>
    </row>
    <row r="245" spans="11:11">
      <c r="K245" s="23"/>
    </row>
    <row r="246" spans="11:11">
      <c r="K246" s="23"/>
    </row>
    <row r="247" spans="11:11">
      <c r="K247" s="23"/>
    </row>
    <row r="248" spans="11:11">
      <c r="K248" s="23"/>
    </row>
    <row r="249" spans="11:11">
      <c r="K249" s="23"/>
    </row>
    <row r="250" spans="11:11">
      <c r="K250" s="23"/>
    </row>
    <row r="251" spans="11:11">
      <c r="K251" s="23"/>
    </row>
    <row r="252" spans="11:11">
      <c r="K252" s="23"/>
    </row>
    <row r="253" spans="11:11">
      <c r="K253" s="23"/>
    </row>
    <row r="254" spans="11:11">
      <c r="K254" s="23"/>
    </row>
    <row r="255" spans="11:11">
      <c r="K255" s="23"/>
    </row>
    <row r="256" spans="11:11">
      <c r="K256" s="23"/>
    </row>
    <row r="257" spans="11:11">
      <c r="K257" s="23"/>
    </row>
    <row r="258" spans="11:11">
      <c r="K258" s="23"/>
    </row>
    <row r="259" spans="11:11">
      <c r="K259" s="23"/>
    </row>
    <row r="260" spans="11:11">
      <c r="K260" s="23"/>
    </row>
    <row r="261" spans="11:11">
      <c r="K261" s="23"/>
    </row>
    <row r="262" spans="11:11">
      <c r="K262" s="23"/>
    </row>
    <row r="263" spans="11:11">
      <c r="K263" s="23"/>
    </row>
    <row r="264" spans="11:11">
      <c r="K264" s="23"/>
    </row>
    <row r="265" spans="11:11">
      <c r="K265" s="23"/>
    </row>
    <row r="266" spans="11:11">
      <c r="K266" s="23"/>
    </row>
    <row r="267" spans="11:11">
      <c r="K267" s="23"/>
    </row>
    <row r="268" spans="11:11">
      <c r="K268" s="23"/>
    </row>
    <row r="269" spans="11:11">
      <c r="K269" s="23"/>
    </row>
    <row r="270" spans="11:11">
      <c r="K270" s="23"/>
    </row>
    <row r="271" spans="11:11">
      <c r="K271" s="23"/>
    </row>
    <row r="272" spans="11:11">
      <c r="K272" s="23"/>
    </row>
    <row r="273" spans="11:11">
      <c r="K273" s="23"/>
    </row>
    <row r="274" spans="11:11">
      <c r="K274" s="23"/>
    </row>
    <row r="275" spans="11:11">
      <c r="K275" s="23"/>
    </row>
    <row r="276" spans="11:11">
      <c r="K276" s="23"/>
    </row>
    <row r="277" spans="11:11">
      <c r="K277" s="23"/>
    </row>
    <row r="278" spans="11:11">
      <c r="K278" s="23"/>
    </row>
    <row r="279" spans="11:11">
      <c r="K279" s="23"/>
    </row>
    <row r="280" spans="11:11">
      <c r="K280" s="23"/>
    </row>
    <row r="281" spans="11:11">
      <c r="K281" s="23"/>
    </row>
    <row r="282" spans="11:11">
      <c r="K282" s="23"/>
    </row>
    <row r="283" spans="11:11">
      <c r="K283" s="23"/>
    </row>
    <row r="284" spans="11:11">
      <c r="K284" s="23"/>
    </row>
    <row r="285" spans="11:11">
      <c r="K285" s="23"/>
    </row>
    <row r="286" spans="11:11">
      <c r="K286" s="23"/>
    </row>
    <row r="287" spans="11:11">
      <c r="K287" s="23"/>
    </row>
    <row r="288" spans="11:11">
      <c r="K288" s="23"/>
    </row>
    <row r="289" spans="11:11">
      <c r="K289" s="23"/>
    </row>
    <row r="290" spans="11:11">
      <c r="K290" s="23"/>
    </row>
    <row r="291" spans="11:11">
      <c r="K291" s="23"/>
    </row>
    <row r="292" spans="11:11">
      <c r="K292" s="23"/>
    </row>
    <row r="293" spans="11:11">
      <c r="K293" s="23"/>
    </row>
    <row r="294" spans="11:11">
      <c r="K294" s="23"/>
    </row>
    <row r="295" spans="11:11">
      <c r="K295" s="23"/>
    </row>
    <row r="296" spans="11:11">
      <c r="K296" s="23"/>
    </row>
    <row r="297" spans="11:11">
      <c r="K297" s="23"/>
    </row>
    <row r="298" spans="11:11">
      <c r="K298" s="23"/>
    </row>
    <row r="299" spans="11:11">
      <c r="K299" s="23"/>
    </row>
    <row r="300" spans="11:11">
      <c r="K300" s="23"/>
    </row>
    <row r="301" spans="11:11">
      <c r="K301" s="23"/>
    </row>
    <row r="302" spans="11:11">
      <c r="K302" s="23"/>
    </row>
    <row r="303" spans="11:11">
      <c r="K303" s="23"/>
    </row>
    <row r="304" spans="11:11">
      <c r="K304" s="23"/>
    </row>
    <row r="305" spans="11:11">
      <c r="K305" s="23"/>
    </row>
    <row r="306" spans="11:11">
      <c r="K306" s="23"/>
    </row>
    <row r="307" spans="11:11">
      <c r="K307" s="23"/>
    </row>
    <row r="308" spans="11:11">
      <c r="K308" s="23"/>
    </row>
    <row r="309" spans="11:11">
      <c r="K309" s="23"/>
    </row>
    <row r="310" spans="11:11">
      <c r="K310" s="23"/>
    </row>
    <row r="311" spans="11:11">
      <c r="K311" s="23"/>
    </row>
    <row r="312" spans="11:11">
      <c r="K312" s="23"/>
    </row>
    <row r="313" spans="11:11">
      <c r="K313" s="23"/>
    </row>
    <row r="314" spans="11:11">
      <c r="K314" s="23"/>
    </row>
    <row r="315" spans="11:11">
      <c r="K315" s="23"/>
    </row>
    <row r="316" spans="11:11">
      <c r="K316" s="23"/>
    </row>
    <row r="317" spans="11:11">
      <c r="K317" s="23"/>
    </row>
    <row r="318" spans="11:11">
      <c r="K318" s="23"/>
    </row>
    <row r="319" spans="11:11">
      <c r="K319" s="23"/>
    </row>
    <row r="320" spans="11:11">
      <c r="K320" s="23"/>
    </row>
    <row r="321" spans="11:11">
      <c r="K321" s="23"/>
    </row>
    <row r="322" spans="11:11">
      <c r="K322" s="23"/>
    </row>
    <row r="323" spans="11:11">
      <c r="K323" s="23"/>
    </row>
    <row r="324" spans="11:11">
      <c r="K324" s="23"/>
    </row>
    <row r="325" spans="11:11">
      <c r="K325" s="23"/>
    </row>
    <row r="326" spans="11:11">
      <c r="K326" s="23"/>
    </row>
    <row r="327" spans="11:11">
      <c r="K327" s="23"/>
    </row>
    <row r="328" spans="11:11">
      <c r="K328" s="23"/>
    </row>
    <row r="329" spans="11:11">
      <c r="K329" s="23"/>
    </row>
    <row r="330" spans="11:11">
      <c r="K330" s="23"/>
    </row>
    <row r="331" spans="11:11">
      <c r="K331" s="23"/>
    </row>
    <row r="332" spans="11:11">
      <c r="K332" s="23"/>
    </row>
    <row r="333" spans="11:11">
      <c r="K333" s="23"/>
    </row>
    <row r="334" spans="11:11">
      <c r="K334" s="23"/>
    </row>
    <row r="335" spans="11:11">
      <c r="K335" s="23"/>
    </row>
    <row r="336" spans="11:11">
      <c r="K336" s="23"/>
    </row>
    <row r="337" spans="11:11">
      <c r="K337" s="23"/>
    </row>
    <row r="338" spans="11:11">
      <c r="K338" s="23"/>
    </row>
    <row r="339" spans="11:11">
      <c r="K339" s="23"/>
    </row>
    <row r="340" spans="11:11">
      <c r="K340" s="23"/>
    </row>
    <row r="341" spans="11:11">
      <c r="K341" s="23"/>
    </row>
    <row r="342" spans="11:11">
      <c r="K342" s="23"/>
    </row>
    <row r="343" spans="11:11">
      <c r="K343" s="23"/>
    </row>
    <row r="344" spans="11:11">
      <c r="K344" s="23"/>
    </row>
    <row r="345" spans="11:11">
      <c r="K345" s="23"/>
    </row>
    <row r="346" spans="11:11">
      <c r="K346" s="23"/>
    </row>
    <row r="347" spans="11:11">
      <c r="K347" s="23"/>
    </row>
    <row r="348" spans="11:11">
      <c r="K348" s="23"/>
    </row>
    <row r="349" spans="11:11">
      <c r="K349" s="23"/>
    </row>
    <row r="350" spans="11:11">
      <c r="K350" s="23"/>
    </row>
    <row r="351" spans="11:11">
      <c r="K351" s="23"/>
    </row>
    <row r="352" spans="11:11">
      <c r="K352" s="23"/>
    </row>
    <row r="353" spans="11:11">
      <c r="K353" s="23"/>
    </row>
    <row r="354" spans="11:11">
      <c r="K354" s="23"/>
    </row>
    <row r="355" spans="11:11">
      <c r="K355" s="23"/>
    </row>
    <row r="356" spans="11:11">
      <c r="K356" s="23"/>
    </row>
    <row r="357" spans="11:11">
      <c r="K357" s="23"/>
    </row>
    <row r="358" spans="11:11">
      <c r="K358" s="23"/>
    </row>
    <row r="359" spans="11:11">
      <c r="K359" s="23"/>
    </row>
    <row r="360" spans="11:11">
      <c r="K360" s="23"/>
    </row>
    <row r="361" spans="11:11">
      <c r="K361" s="23"/>
    </row>
    <row r="362" spans="11:11">
      <c r="K362" s="23"/>
    </row>
    <row r="363" spans="11:11">
      <c r="K363" s="23"/>
    </row>
    <row r="364" spans="11:11">
      <c r="K364" s="23"/>
    </row>
    <row r="365" spans="11:11">
      <c r="K365" s="23"/>
    </row>
    <row r="366" spans="11:11">
      <c r="K366" s="23"/>
    </row>
    <row r="367" spans="11:11">
      <c r="K367" s="23"/>
    </row>
    <row r="368" spans="11:11">
      <c r="K368" s="23"/>
    </row>
    <row r="369" spans="11:11">
      <c r="K369" s="23"/>
    </row>
    <row r="370" spans="11:11">
      <c r="K370" s="23"/>
    </row>
    <row r="371" spans="11:11">
      <c r="K371" s="23"/>
    </row>
    <row r="372" spans="11:11">
      <c r="K372" s="23"/>
    </row>
    <row r="373" spans="11:11">
      <c r="K373" s="23"/>
    </row>
    <row r="374" spans="11:11">
      <c r="K374" s="23"/>
    </row>
    <row r="375" spans="11:11">
      <c r="K375" s="23"/>
    </row>
    <row r="376" spans="11:11">
      <c r="K376" s="23"/>
    </row>
    <row r="377" spans="11:11">
      <c r="K377" s="23"/>
    </row>
    <row r="378" spans="11:11">
      <c r="K378" s="23"/>
    </row>
    <row r="379" spans="11:11">
      <c r="K379" s="23"/>
    </row>
    <row r="380" spans="11:11">
      <c r="K380" s="23"/>
    </row>
    <row r="381" spans="11:11">
      <c r="K381" s="23"/>
    </row>
    <row r="382" spans="11:11">
      <c r="K382" s="23"/>
    </row>
    <row r="383" spans="11:11">
      <c r="K383" s="23"/>
    </row>
    <row r="384" spans="11:11">
      <c r="K384" s="23"/>
    </row>
    <row r="385" spans="11:11">
      <c r="K385" s="23"/>
    </row>
    <row r="386" spans="11:11">
      <c r="K386" s="23"/>
    </row>
    <row r="387" spans="11:11">
      <c r="K387" s="23"/>
    </row>
    <row r="388" spans="11:11">
      <c r="K388" s="23"/>
    </row>
    <row r="389" spans="11:11">
      <c r="K389" s="23"/>
    </row>
    <row r="390" spans="11:11">
      <c r="K390" s="23"/>
    </row>
    <row r="391" spans="11:11">
      <c r="K391" s="23"/>
    </row>
    <row r="392" spans="11:11">
      <c r="K392" s="23"/>
    </row>
    <row r="393" spans="11:11">
      <c r="K393" s="23"/>
    </row>
    <row r="394" spans="11:11">
      <c r="K394" s="23"/>
    </row>
    <row r="395" spans="11:11">
      <c r="K395" s="23"/>
    </row>
    <row r="396" spans="11:11">
      <c r="K396" s="23"/>
    </row>
    <row r="397" spans="11:11">
      <c r="K397" s="23"/>
    </row>
    <row r="398" spans="11:11">
      <c r="K398" s="23"/>
    </row>
    <row r="399" spans="11:11">
      <c r="K399" s="23"/>
    </row>
    <row r="400" spans="11:11">
      <c r="K400" s="23"/>
    </row>
    <row r="401" spans="11:11">
      <c r="K401" s="23"/>
    </row>
    <row r="402" spans="11:11">
      <c r="K402" s="23"/>
    </row>
    <row r="403" spans="11:11">
      <c r="K403" s="23"/>
    </row>
    <row r="404" spans="11:11">
      <c r="K404" s="23"/>
    </row>
    <row r="405" spans="11:11">
      <c r="K405" s="23"/>
    </row>
    <row r="406" spans="11:11">
      <c r="K406" s="23"/>
    </row>
    <row r="407" spans="11:11">
      <c r="K407" s="23"/>
    </row>
    <row r="408" spans="11:11">
      <c r="K408" s="23"/>
    </row>
    <row r="409" spans="11:11">
      <c r="K409" s="23"/>
    </row>
    <row r="410" spans="11:11">
      <c r="K410" s="23"/>
    </row>
    <row r="411" spans="11:11">
      <c r="K411" s="23"/>
    </row>
    <row r="412" spans="11:11">
      <c r="K412" s="23"/>
    </row>
    <row r="413" spans="11:11">
      <c r="K413" s="23"/>
    </row>
    <row r="414" spans="11:11">
      <c r="K414" s="23"/>
    </row>
    <row r="415" spans="11:11">
      <c r="K415" s="23"/>
    </row>
    <row r="416" spans="11:11">
      <c r="K416" s="23"/>
    </row>
    <row r="417" spans="11:11">
      <c r="K417" s="23"/>
    </row>
    <row r="418" spans="11:11">
      <c r="K418" s="23"/>
    </row>
    <row r="419" spans="11:11">
      <c r="K419" s="23"/>
    </row>
    <row r="420" spans="11:11">
      <c r="K420" s="23"/>
    </row>
    <row r="421" spans="11:11">
      <c r="K421" s="23"/>
    </row>
    <row r="422" spans="11:11">
      <c r="K422" s="23"/>
    </row>
    <row r="423" spans="11:11">
      <c r="K423" s="23"/>
    </row>
    <row r="424" spans="11:11">
      <c r="K424" s="23"/>
    </row>
    <row r="425" spans="11:11">
      <c r="K425" s="23"/>
    </row>
    <row r="426" spans="11:11">
      <c r="K426" s="23"/>
    </row>
    <row r="427" spans="11:11">
      <c r="K427" s="23"/>
    </row>
    <row r="428" spans="11:11">
      <c r="K428" s="23"/>
    </row>
    <row r="429" spans="11:11">
      <c r="K429" s="23"/>
    </row>
    <row r="430" spans="11:11">
      <c r="K430" s="23"/>
    </row>
    <row r="431" spans="11:11">
      <c r="K431" s="23"/>
    </row>
    <row r="432" spans="11:11">
      <c r="K432" s="23"/>
    </row>
    <row r="433" spans="11:11">
      <c r="K433" s="23"/>
    </row>
    <row r="434" spans="11:11">
      <c r="K434" s="23"/>
    </row>
    <row r="435" spans="11:11">
      <c r="K435" s="23"/>
    </row>
    <row r="436" spans="11:11">
      <c r="K436" s="23"/>
    </row>
    <row r="437" spans="11:11">
      <c r="K437" s="23"/>
    </row>
    <row r="438" spans="11:11">
      <c r="K438" s="23"/>
    </row>
    <row r="439" spans="11:11">
      <c r="K439" s="23"/>
    </row>
    <row r="440" spans="11:11">
      <c r="K440" s="23"/>
    </row>
    <row r="441" spans="11:11">
      <c r="K441" s="23"/>
    </row>
    <row r="442" spans="11:11">
      <c r="K442" s="23"/>
    </row>
    <row r="443" spans="11:11">
      <c r="K443" s="23"/>
    </row>
    <row r="444" spans="11:11">
      <c r="K444" s="23"/>
    </row>
    <row r="445" spans="11:11">
      <c r="K445" s="23"/>
    </row>
    <row r="446" spans="11:11">
      <c r="K446" s="23"/>
    </row>
    <row r="447" spans="11:11">
      <c r="K447" s="23"/>
    </row>
    <row r="448" spans="11:11">
      <c r="K448" s="23"/>
    </row>
    <row r="449" spans="11:11">
      <c r="K449" s="23"/>
    </row>
    <row r="450" spans="11:11">
      <c r="K450" s="23"/>
    </row>
    <row r="451" spans="11:11">
      <c r="K451" s="23"/>
    </row>
    <row r="452" spans="11:11">
      <c r="K452" s="23"/>
    </row>
    <row r="453" spans="11:11">
      <c r="K453" s="23"/>
    </row>
    <row r="454" spans="11:11">
      <c r="K454" s="23"/>
    </row>
    <row r="455" spans="11:11">
      <c r="K455" s="23"/>
    </row>
    <row r="456" spans="11:11">
      <c r="K456" s="23"/>
    </row>
    <row r="457" spans="11:11">
      <c r="K457" s="23"/>
    </row>
    <row r="458" spans="11:11">
      <c r="K458" s="23"/>
    </row>
    <row r="459" spans="11:11">
      <c r="K459" s="23"/>
    </row>
    <row r="460" spans="11:11">
      <c r="K460" s="23"/>
    </row>
    <row r="461" spans="11:11">
      <c r="K461" s="23"/>
    </row>
    <row r="462" spans="11:11">
      <c r="K462" s="23"/>
    </row>
    <row r="463" spans="11:11">
      <c r="K463" s="23"/>
    </row>
    <row r="464" spans="11:11">
      <c r="K464" s="23"/>
    </row>
    <row r="465" spans="11:11">
      <c r="K465" s="23"/>
    </row>
    <row r="466" spans="11:11">
      <c r="K466" s="23"/>
    </row>
    <row r="467" spans="11:11">
      <c r="K467" s="23"/>
    </row>
    <row r="468" spans="11:11">
      <c r="K468" s="23"/>
    </row>
    <row r="469" spans="11:11">
      <c r="K469" s="23"/>
    </row>
    <row r="470" spans="11:11">
      <c r="K470" s="23"/>
    </row>
    <row r="471" spans="11:11">
      <c r="K471" s="23"/>
    </row>
    <row r="472" spans="11:11">
      <c r="K472" s="23"/>
    </row>
    <row r="473" spans="11:11">
      <c r="K473" s="23"/>
    </row>
    <row r="474" spans="11:11">
      <c r="K474" s="23"/>
    </row>
    <row r="475" spans="11:11">
      <c r="K475" s="23"/>
    </row>
    <row r="476" spans="11:11">
      <c r="K476" s="23"/>
    </row>
    <row r="477" spans="11:11">
      <c r="K477" s="23"/>
    </row>
    <row r="478" spans="11:11">
      <c r="K478" s="23"/>
    </row>
    <row r="479" spans="11:11">
      <c r="K479" s="23"/>
    </row>
    <row r="480" spans="11:11">
      <c r="K480" s="23"/>
    </row>
    <row r="481" spans="11:11">
      <c r="K481" s="23"/>
    </row>
    <row r="482" spans="11:11">
      <c r="K482" s="23"/>
    </row>
    <row r="483" spans="11:11">
      <c r="K483" s="23"/>
    </row>
    <row r="484" spans="11:11">
      <c r="K484" s="23"/>
    </row>
    <row r="485" spans="11:11">
      <c r="K485" s="23"/>
    </row>
    <row r="486" spans="11:11">
      <c r="K486" s="23"/>
    </row>
    <row r="487" spans="11:11">
      <c r="K487" s="23"/>
    </row>
    <row r="488" spans="11:11">
      <c r="K488" s="23"/>
    </row>
    <row r="489" spans="11:11">
      <c r="K489" s="23"/>
    </row>
    <row r="490" spans="11:11">
      <c r="K490" s="23"/>
    </row>
    <row r="491" spans="11:11">
      <c r="K491" s="23"/>
    </row>
    <row r="492" spans="11:11">
      <c r="K492" s="23"/>
    </row>
    <row r="493" spans="11:11">
      <c r="K493" s="23"/>
    </row>
    <row r="494" spans="11:11">
      <c r="K494" s="23"/>
    </row>
    <row r="495" spans="11:11">
      <c r="K495" s="23"/>
    </row>
    <row r="496" spans="11:11">
      <c r="K496" s="23"/>
    </row>
    <row r="497" spans="11:11">
      <c r="K497" s="23"/>
    </row>
    <row r="498" spans="11:11">
      <c r="K498" s="23"/>
    </row>
    <row r="499" spans="11:11">
      <c r="K499" s="23"/>
    </row>
    <row r="500" spans="11:11">
      <c r="K500" s="23"/>
    </row>
    <row r="501" spans="11:11">
      <c r="K501" s="23"/>
    </row>
    <row r="502" spans="11:11">
      <c r="K502" s="23"/>
    </row>
    <row r="503" spans="11:11">
      <c r="K503" s="23"/>
    </row>
    <row r="504" spans="11:11">
      <c r="K504" s="23"/>
    </row>
    <row r="505" spans="11:11">
      <c r="K505" s="23"/>
    </row>
    <row r="506" spans="11:11">
      <c r="K506" s="23"/>
    </row>
    <row r="507" spans="11:11">
      <c r="K507" s="23"/>
    </row>
    <row r="508" spans="11:11">
      <c r="K508" s="23"/>
    </row>
    <row r="509" spans="11:11">
      <c r="K509" s="23"/>
    </row>
    <row r="510" spans="11:11">
      <c r="K510" s="23"/>
    </row>
    <row r="511" spans="11:11">
      <c r="K511" s="23"/>
    </row>
    <row r="512" spans="11:11">
      <c r="K512" s="23"/>
    </row>
    <row r="513" spans="11:11">
      <c r="K513" s="23"/>
    </row>
    <row r="514" spans="11:11">
      <c r="K514" s="23"/>
    </row>
    <row r="515" spans="11:11">
      <c r="K515" s="23"/>
    </row>
    <row r="516" spans="11:11">
      <c r="K516" s="23"/>
    </row>
    <row r="517" spans="11:11">
      <c r="K517" s="23"/>
    </row>
    <row r="518" spans="11:11">
      <c r="K518" s="23"/>
    </row>
    <row r="519" spans="11:11">
      <c r="K519" s="23"/>
    </row>
    <row r="520" spans="11:11">
      <c r="K520" s="23"/>
    </row>
    <row r="521" spans="11:11">
      <c r="K521" s="23"/>
    </row>
    <row r="522" spans="11:11">
      <c r="K522" s="23"/>
    </row>
    <row r="523" spans="11:11">
      <c r="K523" s="23"/>
    </row>
    <row r="524" spans="11:11">
      <c r="K524" s="23"/>
    </row>
    <row r="525" spans="11:11">
      <c r="K525" s="23"/>
    </row>
    <row r="526" spans="11:11">
      <c r="K526" s="23"/>
    </row>
    <row r="527" spans="11:11">
      <c r="K527" s="23"/>
    </row>
    <row r="528" spans="11:11">
      <c r="K528" s="23"/>
    </row>
    <row r="529" spans="11:11">
      <c r="K529" s="23"/>
    </row>
    <row r="530" spans="11:11">
      <c r="K530" s="23"/>
    </row>
    <row r="531" spans="11:11">
      <c r="K531" s="23"/>
    </row>
    <row r="532" spans="11:11">
      <c r="K532" s="23"/>
    </row>
    <row r="533" spans="11:11">
      <c r="K533" s="23"/>
    </row>
    <row r="534" spans="11:11">
      <c r="K534" s="23"/>
    </row>
    <row r="535" spans="11:11">
      <c r="K535" s="23"/>
    </row>
    <row r="536" spans="11:11">
      <c r="K536" s="23"/>
    </row>
    <row r="537" spans="11:11">
      <c r="K537" s="23"/>
    </row>
    <row r="538" spans="11:11">
      <c r="K538" s="23"/>
    </row>
    <row r="539" spans="11:11">
      <c r="K539" s="23"/>
    </row>
    <row r="540" spans="11:11">
      <c r="K540" s="23"/>
    </row>
    <row r="541" spans="11:11">
      <c r="K541" s="23"/>
    </row>
    <row r="542" spans="11:11">
      <c r="K542" s="23"/>
    </row>
    <row r="543" spans="11:11">
      <c r="K543" s="23"/>
    </row>
    <row r="544" spans="11:11">
      <c r="K544" s="23"/>
    </row>
    <row r="545" spans="11:11">
      <c r="K545" s="23"/>
    </row>
    <row r="546" spans="11:11">
      <c r="K546" s="23"/>
    </row>
    <row r="547" spans="11:11">
      <c r="K547" s="23"/>
    </row>
    <row r="548" spans="11:11">
      <c r="K548" s="23"/>
    </row>
    <row r="549" spans="11:11">
      <c r="K549" s="23"/>
    </row>
    <row r="550" spans="11:11">
      <c r="K550" s="23"/>
    </row>
    <row r="551" spans="11:11">
      <c r="K551" s="23"/>
    </row>
    <row r="552" spans="11:11">
      <c r="K552" s="23"/>
    </row>
    <row r="553" spans="11:11">
      <c r="K553" s="23"/>
    </row>
    <row r="554" spans="11:11">
      <c r="K554" s="23"/>
    </row>
    <row r="555" spans="11:11">
      <c r="K555" s="23"/>
    </row>
    <row r="556" spans="11:11">
      <c r="K556" s="23"/>
    </row>
    <row r="557" spans="11:11">
      <c r="K557" s="23"/>
    </row>
    <row r="558" spans="11:11">
      <c r="K558" s="23"/>
    </row>
    <row r="559" spans="11:11">
      <c r="K559" s="23"/>
    </row>
    <row r="560" spans="11:11">
      <c r="K560" s="23"/>
    </row>
    <row r="561" spans="11:11">
      <c r="K561" s="23"/>
    </row>
    <row r="562" spans="11:11">
      <c r="K562" s="23"/>
    </row>
    <row r="563" spans="11:11">
      <c r="K563" s="23"/>
    </row>
    <row r="564" spans="11:11">
      <c r="K564" s="23"/>
    </row>
    <row r="565" spans="11:11">
      <c r="K565" s="23"/>
    </row>
    <row r="566" spans="11:11">
      <c r="K566" s="23"/>
    </row>
    <row r="567" spans="11:11">
      <c r="K567" s="23"/>
    </row>
    <row r="568" spans="11:11">
      <c r="K568" s="23"/>
    </row>
    <row r="569" spans="11:11">
      <c r="K569" s="23"/>
    </row>
    <row r="570" spans="11:11">
      <c r="K570" s="23"/>
    </row>
    <row r="571" spans="11:11">
      <c r="K571" s="23"/>
    </row>
    <row r="572" spans="11:11">
      <c r="K572" s="23"/>
    </row>
    <row r="573" spans="11:11">
      <c r="K573" s="23"/>
    </row>
    <row r="574" spans="11:11">
      <c r="K574" s="23"/>
    </row>
    <row r="575" spans="11:11">
      <c r="K575" s="23"/>
    </row>
    <row r="576" spans="11:11">
      <c r="K576" s="23"/>
    </row>
    <row r="577" spans="11:11">
      <c r="K577" s="23"/>
    </row>
    <row r="578" spans="11:11">
      <c r="K578" s="23"/>
    </row>
    <row r="579" spans="11:11">
      <c r="K579" s="23"/>
    </row>
    <row r="580" spans="11:11">
      <c r="K580" s="23"/>
    </row>
    <row r="581" spans="11:11">
      <c r="K581" s="23"/>
    </row>
    <row r="582" spans="11:11">
      <c r="K582" s="23"/>
    </row>
    <row r="583" spans="11:11">
      <c r="K583" s="23"/>
    </row>
    <row r="584" spans="11:11">
      <c r="K584" s="23"/>
    </row>
    <row r="585" spans="11:11">
      <c r="K585" s="23"/>
    </row>
    <row r="586" spans="11:11">
      <c r="K586" s="23"/>
    </row>
    <row r="587" spans="11:11">
      <c r="K587" s="23"/>
    </row>
    <row r="588" spans="11:11">
      <c r="K588" s="23"/>
    </row>
    <row r="589" spans="11:11">
      <c r="K589" s="23"/>
    </row>
    <row r="590" spans="11:11">
      <c r="K590" s="23"/>
    </row>
    <row r="591" spans="11:11">
      <c r="K591" s="23"/>
    </row>
    <row r="592" spans="11:11">
      <c r="K592" s="23"/>
    </row>
    <row r="593" spans="11:11">
      <c r="K593" s="23"/>
    </row>
    <row r="594" spans="11:11">
      <c r="K594" s="23"/>
    </row>
    <row r="595" spans="11:11">
      <c r="K595" s="23"/>
    </row>
    <row r="596" spans="11:11">
      <c r="K596" s="23"/>
    </row>
    <row r="597" spans="11:11">
      <c r="K597" s="23"/>
    </row>
    <row r="598" spans="11:11">
      <c r="K598" s="23"/>
    </row>
    <row r="599" spans="11:11">
      <c r="K599" s="23"/>
    </row>
    <row r="600" spans="11:11">
      <c r="K600" s="23"/>
    </row>
    <row r="601" spans="11:11">
      <c r="K601" s="23"/>
    </row>
    <row r="602" spans="11:11">
      <c r="K602" s="23"/>
    </row>
    <row r="603" spans="11:11">
      <c r="K603" s="23"/>
    </row>
    <row r="604" spans="11:11">
      <c r="K604" s="23"/>
    </row>
    <row r="605" spans="11:11">
      <c r="K605" s="23"/>
    </row>
    <row r="606" spans="11:11">
      <c r="K606" s="23"/>
    </row>
    <row r="607" spans="11:11">
      <c r="K607" s="23"/>
    </row>
    <row r="608" spans="11:11">
      <c r="K608" s="23"/>
    </row>
    <row r="609" spans="11:11">
      <c r="K609" s="23"/>
    </row>
    <row r="610" spans="11:11">
      <c r="K610" s="23"/>
    </row>
    <row r="611" spans="11:11">
      <c r="K611" s="23"/>
    </row>
    <row r="612" spans="11:11">
      <c r="K612" s="23"/>
    </row>
    <row r="613" spans="11:11">
      <c r="K613" s="23"/>
    </row>
    <row r="614" spans="11:11">
      <c r="K614" s="23"/>
    </row>
    <row r="615" spans="11:11">
      <c r="K615" s="23"/>
    </row>
    <row r="616" spans="11:11">
      <c r="K616" s="23"/>
    </row>
    <row r="617" spans="11:11">
      <c r="K617" s="23"/>
    </row>
    <row r="618" spans="11:11">
      <c r="K618" s="23"/>
    </row>
    <row r="619" spans="11:11">
      <c r="K619" s="23"/>
    </row>
    <row r="620" spans="11:11">
      <c r="K620" s="23"/>
    </row>
    <row r="621" spans="11:11">
      <c r="K621" s="23"/>
    </row>
    <row r="622" spans="11:11">
      <c r="K622" s="23"/>
    </row>
    <row r="623" spans="11:11">
      <c r="K623" s="23"/>
    </row>
    <row r="624" spans="11:11">
      <c r="K624" s="23"/>
    </row>
    <row r="625" spans="11:11">
      <c r="K625" s="23"/>
    </row>
    <row r="626" spans="11:11">
      <c r="K626" s="23"/>
    </row>
    <row r="627" spans="11:11">
      <c r="K627" s="23"/>
    </row>
    <row r="628" spans="11:11">
      <c r="K628" s="23"/>
    </row>
    <row r="629" spans="11:11">
      <c r="K629" s="23"/>
    </row>
    <row r="630" spans="11:11">
      <c r="K630" s="23"/>
    </row>
    <row r="631" spans="11:11">
      <c r="K631" s="23"/>
    </row>
    <row r="632" spans="11:11">
      <c r="K632" s="23"/>
    </row>
    <row r="633" spans="11:11">
      <c r="K633" s="23"/>
    </row>
    <row r="634" spans="11:11">
      <c r="K634" s="23"/>
    </row>
    <row r="635" spans="11:11">
      <c r="K635" s="23"/>
    </row>
    <row r="636" spans="11:11">
      <c r="K636" s="23"/>
    </row>
    <row r="637" spans="11:11">
      <c r="K637" s="23"/>
    </row>
    <row r="638" spans="11:11">
      <c r="K638" s="23"/>
    </row>
    <row r="639" spans="11:11">
      <c r="K639" s="23"/>
    </row>
    <row r="640" spans="11:11">
      <c r="K640" s="23"/>
    </row>
    <row r="641" spans="11:11">
      <c r="K641" s="23"/>
    </row>
    <row r="642" spans="11:11">
      <c r="K642" s="23"/>
    </row>
    <row r="643" spans="11:11">
      <c r="K643" s="23"/>
    </row>
    <row r="644" spans="11:11">
      <c r="K644" s="23"/>
    </row>
    <row r="645" spans="11:11">
      <c r="K645" s="23"/>
    </row>
    <row r="646" spans="11:11">
      <c r="K646" s="23"/>
    </row>
    <row r="647" spans="11:11">
      <c r="K647" s="23"/>
    </row>
    <row r="648" spans="11:11">
      <c r="K648" s="23"/>
    </row>
    <row r="649" spans="11:11">
      <c r="K649" s="23"/>
    </row>
    <row r="650" spans="11:11">
      <c r="K650" s="23"/>
    </row>
    <row r="651" spans="11:11">
      <c r="K651" s="23"/>
    </row>
    <row r="652" spans="11:11">
      <c r="K652" s="23"/>
    </row>
    <row r="653" spans="11:11">
      <c r="K653" s="23"/>
    </row>
    <row r="654" spans="11:11">
      <c r="K654" s="23"/>
    </row>
    <row r="655" spans="11:11">
      <c r="K655" s="23"/>
    </row>
    <row r="656" spans="11:11">
      <c r="K656" s="23"/>
    </row>
    <row r="657" spans="11:11">
      <c r="K657" s="23"/>
    </row>
    <row r="658" spans="11:11">
      <c r="K658" s="23"/>
    </row>
    <row r="659" spans="11:11">
      <c r="K659" s="23"/>
    </row>
    <row r="660" spans="11:11">
      <c r="K660" s="23"/>
    </row>
    <row r="661" spans="11:11">
      <c r="K661" s="23"/>
    </row>
    <row r="662" spans="11:11">
      <c r="K662" s="23"/>
    </row>
    <row r="663" spans="11:11">
      <c r="K663" s="23"/>
    </row>
    <row r="664" spans="11:11">
      <c r="K664" s="23"/>
    </row>
    <row r="665" spans="11:11">
      <c r="K665" s="23"/>
    </row>
    <row r="666" spans="11:11">
      <c r="K666" s="23"/>
    </row>
    <row r="667" spans="11:11">
      <c r="K667" s="23"/>
    </row>
    <row r="668" spans="11:11">
      <c r="K668" s="23"/>
    </row>
    <row r="669" spans="11:11">
      <c r="K669" s="23"/>
    </row>
    <row r="670" spans="11:11">
      <c r="K670" s="23"/>
    </row>
    <row r="671" spans="11:11">
      <c r="K671" s="23"/>
    </row>
    <row r="672" spans="11:11">
      <c r="K672" s="23"/>
    </row>
    <row r="673" spans="11:11">
      <c r="K673" s="23"/>
    </row>
    <row r="674" spans="11:11">
      <c r="K674" s="23"/>
    </row>
    <row r="675" spans="11:11">
      <c r="K675" s="23"/>
    </row>
    <row r="676" spans="11:11">
      <c r="K676" s="23"/>
    </row>
    <row r="677" spans="11:11">
      <c r="K677" s="23"/>
    </row>
    <row r="678" spans="11:11">
      <c r="K678" s="23"/>
    </row>
    <row r="679" spans="11:11">
      <c r="K679" s="23"/>
    </row>
    <row r="680" spans="11:11">
      <c r="K680" s="23"/>
    </row>
    <row r="681" spans="11:11">
      <c r="K681" s="23"/>
    </row>
    <row r="682" spans="11:11">
      <c r="K682" s="23"/>
    </row>
    <row r="683" spans="11:11">
      <c r="K683" s="23"/>
    </row>
    <row r="684" spans="11:11">
      <c r="K684" s="23"/>
    </row>
    <row r="685" spans="11:11">
      <c r="K685" s="23"/>
    </row>
    <row r="686" spans="11:11">
      <c r="K686" s="23"/>
    </row>
    <row r="687" spans="11:11">
      <c r="K687" s="23"/>
    </row>
    <row r="688" spans="11:11">
      <c r="K688" s="23"/>
    </row>
    <row r="689" spans="11:11">
      <c r="K689" s="23"/>
    </row>
    <row r="690" spans="11:11">
      <c r="K690" s="23"/>
    </row>
    <row r="691" spans="11:11">
      <c r="K691" s="23"/>
    </row>
    <row r="692" spans="11:11">
      <c r="K692" s="23"/>
    </row>
    <row r="693" spans="11:11">
      <c r="K693" s="23"/>
    </row>
    <row r="694" spans="11:11">
      <c r="K694" s="23"/>
    </row>
    <row r="695" spans="11:11">
      <c r="K695" s="23"/>
    </row>
    <row r="696" spans="11:11">
      <c r="K696" s="23"/>
    </row>
    <row r="697" spans="11:11">
      <c r="K697" s="23"/>
    </row>
    <row r="698" spans="11:11">
      <c r="K698" s="23"/>
    </row>
    <row r="699" spans="11:11">
      <c r="K699" s="23"/>
    </row>
    <row r="700" spans="11:11">
      <c r="K700" s="23"/>
    </row>
    <row r="701" spans="11:11">
      <c r="K701" s="23"/>
    </row>
    <row r="702" spans="11:11">
      <c r="K702" s="23"/>
    </row>
    <row r="703" spans="11:11">
      <c r="K703" s="23"/>
    </row>
    <row r="704" spans="11:11">
      <c r="K704" s="23"/>
    </row>
    <row r="705" spans="11:11">
      <c r="K705" s="23"/>
    </row>
    <row r="706" spans="11:11">
      <c r="K706" s="23"/>
    </row>
    <row r="707" spans="11:11">
      <c r="K707" s="23"/>
    </row>
    <row r="708" spans="11:11">
      <c r="K708" s="23"/>
    </row>
    <row r="709" spans="11:11">
      <c r="K709" s="23"/>
    </row>
    <row r="710" spans="11:11">
      <c r="K710" s="23"/>
    </row>
    <row r="711" spans="11:11">
      <c r="K711" s="23"/>
    </row>
    <row r="712" spans="11:11">
      <c r="K712" s="23"/>
    </row>
    <row r="713" spans="11:11">
      <c r="K713" s="23"/>
    </row>
    <row r="714" spans="11:11">
      <c r="K714" s="23"/>
    </row>
    <row r="715" spans="11:11">
      <c r="K715" s="23"/>
    </row>
    <row r="716" spans="11:11">
      <c r="K716" s="23"/>
    </row>
    <row r="717" spans="11:11">
      <c r="K717" s="23"/>
    </row>
    <row r="718" spans="11:11">
      <c r="K718" s="23"/>
    </row>
    <row r="719" spans="11:11">
      <c r="K719" s="23"/>
    </row>
    <row r="720" spans="11:11">
      <c r="K720" s="23"/>
    </row>
    <row r="721" spans="11:11">
      <c r="K721" s="23"/>
    </row>
    <row r="722" spans="11:11">
      <c r="K722" s="23"/>
    </row>
    <row r="723" spans="11:11">
      <c r="K723" s="23"/>
    </row>
    <row r="724" spans="11:11">
      <c r="K724" s="23"/>
    </row>
    <row r="725" spans="11:11">
      <c r="K725" s="23"/>
    </row>
    <row r="726" spans="11:11">
      <c r="K726" s="23"/>
    </row>
    <row r="727" spans="11:11">
      <c r="K727" s="23"/>
    </row>
    <row r="728" spans="11:11">
      <c r="K728" s="23"/>
    </row>
    <row r="729" spans="11:11">
      <c r="K729" s="23"/>
    </row>
    <row r="730" spans="11:11">
      <c r="K730" s="23"/>
    </row>
    <row r="731" spans="11:11">
      <c r="K731" s="23"/>
    </row>
    <row r="732" spans="11:11">
      <c r="K732" s="23"/>
    </row>
    <row r="733" spans="11:11">
      <c r="K733" s="23"/>
    </row>
    <row r="734" spans="11:11">
      <c r="K734" s="23"/>
    </row>
    <row r="735" spans="11:11">
      <c r="K735" s="23"/>
    </row>
    <row r="736" spans="11:11">
      <c r="K736" s="23"/>
    </row>
    <row r="737" spans="11:11">
      <c r="K737" s="23"/>
    </row>
    <row r="738" spans="11:11">
      <c r="K738" s="23"/>
    </row>
    <row r="739" spans="11:11">
      <c r="K739" s="23"/>
    </row>
    <row r="740" spans="11:11">
      <c r="K740" s="23"/>
    </row>
    <row r="741" spans="11:11">
      <c r="K741" s="23"/>
    </row>
    <row r="742" spans="11:11">
      <c r="K742" s="23"/>
    </row>
    <row r="743" spans="11:11">
      <c r="K743" s="23"/>
    </row>
    <row r="744" spans="11:11">
      <c r="K744" s="23"/>
    </row>
    <row r="745" spans="11:11">
      <c r="K745" s="23"/>
    </row>
    <row r="746" spans="11:11">
      <c r="K746" s="23"/>
    </row>
    <row r="747" spans="11:11">
      <c r="K747" s="23"/>
    </row>
    <row r="748" spans="11:11">
      <c r="K748" s="23"/>
    </row>
    <row r="749" spans="11:11">
      <c r="K749" s="23"/>
    </row>
    <row r="750" spans="11:11">
      <c r="K750" s="23"/>
    </row>
    <row r="751" spans="11:11">
      <c r="K751" s="23"/>
    </row>
    <row r="752" spans="11:11">
      <c r="K752" s="23"/>
    </row>
    <row r="753" spans="11:11">
      <c r="K753" s="23"/>
    </row>
    <row r="754" spans="11:11">
      <c r="K754" s="23"/>
    </row>
    <row r="755" spans="11:11">
      <c r="K755" s="23"/>
    </row>
    <row r="756" spans="11:11">
      <c r="K756" s="23"/>
    </row>
    <row r="757" spans="11:11">
      <c r="K757" s="23"/>
    </row>
    <row r="758" spans="11:11">
      <c r="K758" s="23"/>
    </row>
    <row r="759" spans="11:11">
      <c r="K759" s="23"/>
    </row>
    <row r="760" spans="11:11">
      <c r="K760" s="23"/>
    </row>
    <row r="761" spans="11:11">
      <c r="K761" s="23"/>
    </row>
    <row r="762" spans="11:11">
      <c r="K762" s="23"/>
    </row>
    <row r="763" spans="11:11">
      <c r="K763" s="23"/>
    </row>
    <row r="764" spans="11:11">
      <c r="K764" s="23"/>
    </row>
    <row r="765" spans="11:11">
      <c r="K765" s="23"/>
    </row>
    <row r="766" spans="11:11">
      <c r="K766" s="23"/>
    </row>
    <row r="767" spans="11:11">
      <c r="K767" s="23"/>
    </row>
    <row r="768" spans="11:11">
      <c r="K768" s="23"/>
    </row>
    <row r="769" spans="11:11">
      <c r="K769" s="23"/>
    </row>
    <row r="770" spans="11:11">
      <c r="K770" s="23"/>
    </row>
    <row r="771" spans="11:11">
      <c r="K771" s="23"/>
    </row>
    <row r="772" spans="11:11">
      <c r="K772" s="23"/>
    </row>
    <row r="773" spans="11:11">
      <c r="K773" s="23"/>
    </row>
    <row r="774" spans="11:11">
      <c r="K774" s="23"/>
    </row>
    <row r="775" spans="11:11">
      <c r="K775" s="23"/>
    </row>
    <row r="776" spans="11:11">
      <c r="K776" s="23"/>
    </row>
    <row r="777" spans="11:11">
      <c r="K777" s="23"/>
    </row>
    <row r="778" spans="11:11">
      <c r="K778" s="23"/>
    </row>
    <row r="779" spans="11:11">
      <c r="K779" s="23"/>
    </row>
    <row r="780" spans="11:11">
      <c r="K780" s="23"/>
    </row>
    <row r="781" spans="11:11">
      <c r="K781" s="23"/>
    </row>
    <row r="782" spans="11:11">
      <c r="K782" s="23"/>
    </row>
    <row r="783" spans="11:11">
      <c r="K783" s="23"/>
    </row>
    <row r="784" spans="11:11">
      <c r="K784" s="23"/>
    </row>
    <row r="785" spans="11:11">
      <c r="K785" s="23"/>
    </row>
    <row r="786" spans="11:11">
      <c r="K786" s="23"/>
    </row>
    <row r="787" spans="11:11">
      <c r="K787" s="23"/>
    </row>
    <row r="788" spans="11:11">
      <c r="K788" s="23"/>
    </row>
    <row r="789" spans="11:11">
      <c r="K789" s="23"/>
    </row>
    <row r="790" spans="11:11">
      <c r="K790" s="23"/>
    </row>
    <row r="791" spans="11:11">
      <c r="K791" s="23"/>
    </row>
    <row r="792" spans="11:11">
      <c r="K792" s="23"/>
    </row>
    <row r="793" spans="11:11">
      <c r="K793" s="23"/>
    </row>
    <row r="794" spans="11:11">
      <c r="K794" s="23"/>
    </row>
    <row r="795" spans="11:11">
      <c r="K795" s="23"/>
    </row>
    <row r="796" spans="11:11">
      <c r="K796" s="23"/>
    </row>
    <row r="797" spans="11:11">
      <c r="K797" s="23"/>
    </row>
    <row r="798" spans="11:11">
      <c r="K798" s="23"/>
    </row>
    <row r="799" spans="11:11">
      <c r="K799" s="23"/>
    </row>
    <row r="800" spans="11:11">
      <c r="K800" s="23"/>
    </row>
    <row r="801" spans="11:11">
      <c r="K801" s="23"/>
    </row>
    <row r="802" spans="11:11">
      <c r="K802" s="23"/>
    </row>
    <row r="803" spans="11:11">
      <c r="K803" s="23"/>
    </row>
    <row r="804" spans="11:11">
      <c r="K804" s="23"/>
    </row>
    <row r="805" spans="11:11">
      <c r="K805" s="23"/>
    </row>
    <row r="806" spans="11:11">
      <c r="K806" s="23"/>
    </row>
    <row r="807" spans="11:11">
      <c r="K807" s="23"/>
    </row>
    <row r="808" spans="11:11">
      <c r="K808" s="23"/>
    </row>
    <row r="809" spans="11:11">
      <c r="K809" s="23"/>
    </row>
    <row r="810" spans="11:11">
      <c r="K810" s="23"/>
    </row>
    <row r="811" spans="11:11">
      <c r="K811" s="23"/>
    </row>
    <row r="812" spans="11:11">
      <c r="K812" s="23"/>
    </row>
    <row r="813" spans="11:11">
      <c r="K813" s="23"/>
    </row>
    <row r="814" spans="11:11">
      <c r="K814" s="23"/>
    </row>
    <row r="815" spans="11:11">
      <c r="K815" s="23"/>
    </row>
    <row r="816" spans="11:11">
      <c r="K816" s="23"/>
    </row>
    <row r="817" spans="11:11">
      <c r="K817" s="23"/>
    </row>
    <row r="818" spans="11:11">
      <c r="K818" s="23"/>
    </row>
    <row r="819" spans="11:11">
      <c r="K819" s="23"/>
    </row>
    <row r="820" spans="11:11">
      <c r="K820" s="23"/>
    </row>
    <row r="821" spans="11:11">
      <c r="K821" s="23"/>
    </row>
    <row r="822" spans="11:11">
      <c r="K822" s="23"/>
    </row>
    <row r="823" spans="11:11">
      <c r="K823" s="23"/>
    </row>
    <row r="824" spans="11:11">
      <c r="K824" s="23"/>
    </row>
    <row r="825" spans="11:11">
      <c r="K825" s="23"/>
    </row>
    <row r="826" spans="11:11">
      <c r="K826" s="23"/>
    </row>
    <row r="827" spans="11:11">
      <c r="K827" s="23"/>
    </row>
    <row r="828" spans="11:11">
      <c r="K828" s="23"/>
    </row>
    <row r="829" spans="11:11">
      <c r="K829" s="23"/>
    </row>
    <row r="830" spans="11:11">
      <c r="K830" s="23"/>
    </row>
    <row r="831" spans="11:11">
      <c r="K831" s="23"/>
    </row>
    <row r="832" spans="11:11">
      <c r="K832" s="23"/>
    </row>
    <row r="833" spans="11:11">
      <c r="K833" s="23"/>
    </row>
    <row r="834" spans="11:11">
      <c r="K834" s="23"/>
    </row>
    <row r="835" spans="11:11">
      <c r="K835" s="23"/>
    </row>
    <row r="836" spans="11:11">
      <c r="K836" s="23"/>
    </row>
    <row r="837" spans="11:11">
      <c r="K837" s="23"/>
    </row>
    <row r="838" spans="11:11">
      <c r="K838" s="23"/>
    </row>
    <row r="839" spans="11:11">
      <c r="K839" s="23"/>
    </row>
    <row r="840" spans="11:11">
      <c r="K840" s="23"/>
    </row>
    <row r="841" spans="11:11">
      <c r="K841" s="23"/>
    </row>
    <row r="842" spans="11:11">
      <c r="K842" s="23"/>
    </row>
    <row r="843" spans="11:11">
      <c r="K843" s="23"/>
    </row>
    <row r="844" spans="11:11">
      <c r="K844" s="23"/>
    </row>
    <row r="845" spans="11:11">
      <c r="K845" s="23"/>
    </row>
    <row r="846" spans="11:11">
      <c r="K846" s="23"/>
    </row>
    <row r="847" spans="11:11">
      <c r="K847" s="23"/>
    </row>
    <row r="848" spans="11:11">
      <c r="K848" s="23"/>
    </row>
    <row r="849" spans="11:11">
      <c r="K849" s="23"/>
    </row>
    <row r="850" spans="11:11">
      <c r="K850" s="23"/>
    </row>
    <row r="851" spans="11:11">
      <c r="K851" s="23"/>
    </row>
    <row r="852" spans="11:11">
      <c r="K852" s="23"/>
    </row>
    <row r="853" spans="11:11">
      <c r="K853" s="23"/>
    </row>
    <row r="854" spans="11:11">
      <c r="K854" s="23"/>
    </row>
    <row r="855" spans="11:11">
      <c r="K855" s="23"/>
    </row>
    <row r="856" spans="11:11">
      <c r="K856" s="23"/>
    </row>
    <row r="857" spans="11:11">
      <c r="K857" s="23"/>
    </row>
    <row r="858" spans="11:11">
      <c r="K858" s="23"/>
    </row>
    <row r="859" spans="11:11">
      <c r="K859" s="23"/>
    </row>
    <row r="860" spans="11:11">
      <c r="K860" s="23"/>
    </row>
    <row r="861" spans="11:11">
      <c r="K861" s="23"/>
    </row>
    <row r="862" spans="11:11">
      <c r="K862" s="23"/>
    </row>
    <row r="863" spans="11:11">
      <c r="K863" s="23"/>
    </row>
    <row r="864" spans="11:11">
      <c r="K864" s="23"/>
    </row>
    <row r="865" spans="11:11">
      <c r="K865" s="23"/>
    </row>
    <row r="866" spans="11:11">
      <c r="K866" s="23"/>
    </row>
    <row r="867" spans="11:11">
      <c r="K867" s="23"/>
    </row>
    <row r="868" spans="11:11">
      <c r="K868" s="23"/>
    </row>
    <row r="869" spans="11:11">
      <c r="K869" s="23"/>
    </row>
    <row r="870" spans="11:11">
      <c r="K870" s="23"/>
    </row>
    <row r="871" spans="11:11">
      <c r="K871" s="23"/>
    </row>
    <row r="872" spans="11:11">
      <c r="K872" s="23"/>
    </row>
    <row r="873" spans="11:11">
      <c r="K873" s="23"/>
    </row>
    <row r="874" spans="11:11">
      <c r="K874" s="23"/>
    </row>
    <row r="875" spans="11:11">
      <c r="K875" s="23"/>
    </row>
    <row r="876" spans="11:11">
      <c r="K876" s="23"/>
    </row>
    <row r="877" spans="11:11">
      <c r="K877" s="23"/>
    </row>
    <row r="878" spans="11:11">
      <c r="K878" s="23"/>
    </row>
    <row r="879" spans="11:11">
      <c r="K879" s="23"/>
    </row>
    <row r="880" spans="11:11">
      <c r="K880" s="23"/>
    </row>
    <row r="881" spans="11:11">
      <c r="K881" s="23"/>
    </row>
    <row r="882" spans="11:11">
      <c r="K882" s="23"/>
    </row>
    <row r="883" spans="11:11">
      <c r="K883" s="23"/>
    </row>
    <row r="884" spans="11:11">
      <c r="K884" s="23"/>
    </row>
    <row r="885" spans="11:11">
      <c r="K885" s="23"/>
    </row>
    <row r="886" spans="11:11">
      <c r="K886" s="23"/>
    </row>
    <row r="887" spans="11:11">
      <c r="K887" s="23"/>
    </row>
    <row r="888" spans="11:11">
      <c r="K888" s="23"/>
    </row>
    <row r="889" spans="11:11">
      <c r="K889" s="23"/>
    </row>
    <row r="890" spans="11:11">
      <c r="K890" s="23"/>
    </row>
    <row r="891" spans="11:11">
      <c r="K891" s="23"/>
    </row>
    <row r="892" spans="11:11">
      <c r="K892" s="23"/>
    </row>
    <row r="893" spans="11:11">
      <c r="K893" s="23"/>
    </row>
    <row r="894" spans="11:11">
      <c r="K894" s="23"/>
    </row>
    <row r="895" spans="11:11">
      <c r="K895" s="23"/>
    </row>
    <row r="896" spans="11:11">
      <c r="K896" s="23"/>
    </row>
    <row r="897" spans="11:11">
      <c r="K897" s="23"/>
    </row>
    <row r="898" spans="11:11">
      <c r="K898" s="23"/>
    </row>
    <row r="899" spans="11:11">
      <c r="K899" s="23"/>
    </row>
    <row r="900" spans="11:11">
      <c r="K900" s="23"/>
    </row>
    <row r="901" spans="11:11">
      <c r="K901" s="23"/>
    </row>
    <row r="902" spans="11:11">
      <c r="K902" s="23"/>
    </row>
    <row r="903" spans="11:11">
      <c r="K903" s="23"/>
    </row>
    <row r="904" spans="11:11">
      <c r="K904" s="23"/>
    </row>
    <row r="905" spans="11:11">
      <c r="K905" s="23"/>
    </row>
    <row r="906" spans="11:11">
      <c r="K906" s="23"/>
    </row>
    <row r="907" spans="11:11">
      <c r="K907" s="23"/>
    </row>
    <row r="908" spans="11:11">
      <c r="K908" s="23"/>
    </row>
    <row r="909" spans="11:11">
      <c r="K909" s="23"/>
    </row>
    <row r="910" spans="11:11">
      <c r="K910" s="23"/>
    </row>
    <row r="911" spans="11:11">
      <c r="K911" s="23"/>
    </row>
    <row r="912" spans="11:11">
      <c r="K912" s="23"/>
    </row>
    <row r="913" spans="11:11">
      <c r="K913" s="23"/>
    </row>
    <row r="914" spans="11:11">
      <c r="K914" s="23"/>
    </row>
    <row r="915" spans="11:11">
      <c r="K915" s="23"/>
    </row>
    <row r="916" spans="11:11">
      <c r="K916" s="23"/>
    </row>
    <row r="917" spans="11:11">
      <c r="K917" s="23"/>
    </row>
    <row r="918" spans="11:11">
      <c r="K918" s="23"/>
    </row>
    <row r="919" spans="11:11">
      <c r="K919" s="23"/>
    </row>
    <row r="920" spans="11:11">
      <c r="K920" s="23"/>
    </row>
    <row r="921" spans="11:11">
      <c r="K921" s="23"/>
    </row>
    <row r="922" spans="11:11">
      <c r="K922" s="23"/>
    </row>
    <row r="923" spans="11:11">
      <c r="K923" s="23"/>
    </row>
    <row r="924" spans="11:11">
      <c r="K924" s="23"/>
    </row>
    <row r="925" spans="11:11">
      <c r="K925" s="23"/>
    </row>
    <row r="926" spans="11:11">
      <c r="K926" s="23"/>
    </row>
    <row r="927" spans="11:11">
      <c r="K927" s="23"/>
    </row>
    <row r="928" spans="11:11">
      <c r="K928" s="23"/>
    </row>
    <row r="929" spans="11:11">
      <c r="K929" s="23"/>
    </row>
    <row r="930" spans="11:11">
      <c r="K930" s="23"/>
    </row>
    <row r="931" spans="11:11">
      <c r="K931" s="23"/>
    </row>
    <row r="932" spans="11:11">
      <c r="K932" s="23"/>
    </row>
    <row r="933" spans="11:11">
      <c r="K933" s="23"/>
    </row>
    <row r="934" spans="11:11">
      <c r="K934" s="23"/>
    </row>
    <row r="935" spans="11:11">
      <c r="K935" s="23"/>
    </row>
    <row r="936" spans="11:11">
      <c r="K936" s="23"/>
    </row>
    <row r="937" spans="11:11">
      <c r="K937" s="23"/>
    </row>
    <row r="938" spans="11:11">
      <c r="K938" s="23"/>
    </row>
    <row r="939" spans="11:11">
      <c r="K939" s="23"/>
    </row>
    <row r="940" spans="11:11">
      <c r="K940" s="23"/>
    </row>
    <row r="941" spans="11:11">
      <c r="K941" s="23"/>
    </row>
    <row r="942" spans="11:11">
      <c r="K942" s="23"/>
    </row>
    <row r="943" spans="11:11">
      <c r="K943" s="23"/>
    </row>
    <row r="944" spans="11:11">
      <c r="K944" s="23"/>
    </row>
    <row r="945" spans="11:11">
      <c r="K945" s="23"/>
    </row>
    <row r="946" spans="11:11">
      <c r="K946" s="23"/>
    </row>
    <row r="947" spans="11:11">
      <c r="K947" s="23"/>
    </row>
    <row r="948" spans="11:11">
      <c r="K948" s="23"/>
    </row>
    <row r="949" spans="11:11">
      <c r="K949" s="23"/>
    </row>
    <row r="950" spans="11:11">
      <c r="K950" s="23"/>
    </row>
    <row r="951" spans="11:11">
      <c r="K951" s="23"/>
    </row>
    <row r="952" spans="11:11">
      <c r="K952" s="23"/>
    </row>
    <row r="953" spans="11:11">
      <c r="K953" s="23"/>
    </row>
    <row r="954" spans="11:11">
      <c r="K954" s="23"/>
    </row>
    <row r="955" spans="11:11">
      <c r="K955" s="23"/>
    </row>
    <row r="956" spans="11:11">
      <c r="K956" s="23"/>
    </row>
    <row r="957" spans="11:11">
      <c r="K957" s="23"/>
    </row>
    <row r="958" spans="11:11">
      <c r="K958" s="23"/>
    </row>
    <row r="959" spans="11:11">
      <c r="K959" s="23"/>
    </row>
    <row r="960" spans="11:11">
      <c r="K960" s="23"/>
    </row>
    <row r="961" spans="11:11">
      <c r="K961" s="23"/>
    </row>
    <row r="962" spans="11:11">
      <c r="K962" s="23"/>
    </row>
    <row r="963" spans="11:11">
      <c r="K963" s="23"/>
    </row>
    <row r="964" spans="11:11">
      <c r="K964" s="23"/>
    </row>
    <row r="965" spans="11:11">
      <c r="K965" s="23"/>
    </row>
    <row r="966" spans="11:11">
      <c r="K966" s="23"/>
    </row>
    <row r="967" spans="11:11">
      <c r="K967" s="23"/>
    </row>
    <row r="968" spans="11:11">
      <c r="K968" s="23"/>
    </row>
    <row r="969" spans="11:11">
      <c r="K969" s="23"/>
    </row>
    <row r="970" spans="11:11">
      <c r="K970" s="23"/>
    </row>
    <row r="971" spans="11:11">
      <c r="K971" s="23"/>
    </row>
    <row r="972" spans="11:11">
      <c r="K972" s="23"/>
    </row>
    <row r="973" spans="11:11">
      <c r="K973" s="23"/>
    </row>
    <row r="974" spans="11:11">
      <c r="K974" s="23"/>
    </row>
    <row r="975" spans="11:11">
      <c r="K975" s="23"/>
    </row>
    <row r="976" spans="11:11">
      <c r="K976" s="23"/>
    </row>
    <row r="977" spans="11:11">
      <c r="K977" s="23"/>
    </row>
    <row r="978" spans="11:11">
      <c r="K978" s="23"/>
    </row>
    <row r="979" spans="11:11">
      <c r="K979" s="23"/>
    </row>
    <row r="980" spans="11:11">
      <c r="K980" s="23"/>
    </row>
    <row r="981" spans="11:11">
      <c r="K981" s="23"/>
    </row>
    <row r="982" spans="11:11">
      <c r="K982" s="23"/>
    </row>
    <row r="983" spans="11:11">
      <c r="K983" s="23"/>
    </row>
    <row r="984" spans="11:11">
      <c r="K984" s="23"/>
    </row>
    <row r="985" spans="11:11">
      <c r="K985" s="23"/>
    </row>
    <row r="986" spans="11:11">
      <c r="K986" s="23"/>
    </row>
    <row r="987" spans="11:11">
      <c r="K987" s="23"/>
    </row>
    <row r="988" spans="11:11">
      <c r="K988" s="23"/>
    </row>
    <row r="989" spans="11:11">
      <c r="K989" s="23"/>
    </row>
    <row r="990" spans="11:11">
      <c r="K990" s="23"/>
    </row>
    <row r="991" spans="11:11">
      <c r="K991" s="23"/>
    </row>
    <row r="992" spans="11:11">
      <c r="K992" s="23"/>
    </row>
    <row r="993" spans="11:11">
      <c r="K993" s="23"/>
    </row>
    <row r="994" spans="11:11">
      <c r="K994" s="23"/>
    </row>
    <row r="995" spans="11:11">
      <c r="K995" s="23"/>
    </row>
    <row r="996" spans="11:11">
      <c r="K996" s="23"/>
    </row>
    <row r="997" spans="11:11">
      <c r="K997" s="23"/>
    </row>
    <row r="998" spans="11:11">
      <c r="K998" s="23"/>
    </row>
    <row r="999" spans="11:11">
      <c r="K999" s="23"/>
    </row>
  </sheetData>
  <sheetProtection algorithmName="SHA-512" hashValue="0Gqv/BaIfg8qO93NouCW7Q/6bOUVHlJyT934NrFTt/tyFlJBXpoXaPYDTlo6FTWBCYQNtI/i/D3cGmWzOhdq5A==" saltValue="rdRC8xe6h8EcoYamVpANQQ==" spinCount="100000" sheet="1" formatCells="0" formatColumns="0" formatRows="0" insertColumns="0" insertRows="0" insertHyperlinks="0" deleteColumns="0" deleteRows="0" sort="0" autoFilter="0" pivotTables="0"/>
  <mergeCells count="9">
    <mergeCell ref="D2:I4"/>
    <mergeCell ref="L19:P19"/>
    <mergeCell ref="L6:U17"/>
    <mergeCell ref="B6:B8"/>
    <mergeCell ref="C6:G6"/>
    <mergeCell ref="H6:J6"/>
    <mergeCell ref="C7:J7"/>
    <mergeCell ref="C8:F8"/>
    <mergeCell ref="G8:J8"/>
  </mergeCells>
  <conditionalFormatting sqref="C10:J14">
    <cfRule type="cellIs" dxfId="11" priority="27" operator="lessThan">
      <formula>0</formula>
    </cfRule>
    <cfRule type="cellIs" dxfId="10" priority="30" operator="lessThanOrEqual">
      <formula>0</formula>
    </cfRule>
  </conditionalFormatting>
  <conditionalFormatting sqref="C13:J14">
    <cfRule type="cellIs" dxfId="9" priority="29" operator="greaterThan">
      <formula>0</formula>
    </cfRule>
  </conditionalFormatting>
  <conditionalFormatting sqref="C10:J11">
    <cfRule type="cellIs" dxfId="8" priority="28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Iniciar">
                <anchor moveWithCells="1" sizeWithCells="1">
                  <from>
                    <xdr:col>1</xdr:col>
                    <xdr:colOff>133350</xdr:colOff>
                    <xdr:row>15</xdr:row>
                    <xdr:rowOff>57150</xdr:rowOff>
                  </from>
                  <to>
                    <xdr:col>2</xdr:col>
                    <xdr:colOff>504825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GuardarDatos">
                <anchor moveWithCells="1" sizeWithCells="1">
                  <from>
                    <xdr:col>3</xdr:col>
                    <xdr:colOff>28575</xdr:colOff>
                    <xdr:row>15</xdr:row>
                    <xdr:rowOff>47625</xdr:rowOff>
                  </from>
                  <to>
                    <xdr:col>5</xdr:col>
                    <xdr:colOff>19050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LimpiarDatos">
                <anchor moveWithCells="1" sizeWithCells="1">
                  <from>
                    <xdr:col>5</xdr:col>
                    <xdr:colOff>219075</xdr:colOff>
                    <xdr:row>15</xdr:row>
                    <xdr:rowOff>47625</xdr:rowOff>
                  </from>
                  <to>
                    <xdr:col>7</xdr:col>
                    <xdr:colOff>438150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FinalizarDosisTotal">
                <anchor moveWithCells="1" sizeWithCells="1">
                  <from>
                    <xdr:col>7</xdr:col>
                    <xdr:colOff>628650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8" operator="equal" id="{FDA5F11D-9EDF-4EEA-A45C-0B39E984108D}">
            <xm:f>Parametros!#REF!</xm:f>
            <x14:dxf>
              <fill>
                <patternFill>
                  <bgColor rgb="FFFFCC99"/>
                </patternFill>
              </fill>
            </x14:dxf>
          </x14:cfRule>
          <x14:cfRule type="cellIs" priority="49" operator="equal" id="{E79282F1-039A-4630-BA29-2E829F75BE25}">
            <xm:f>Parametros!#REF!</xm:f>
            <x14:dxf>
              <fill>
                <patternFill>
                  <bgColor rgb="FFFF6699"/>
                </patternFill>
              </fill>
            </x14:dxf>
          </x14:cfRule>
          <x14:cfRule type="cellIs" priority="50" operator="equal" id="{0E1B090C-EB38-48AD-A825-500BC1104ED4}">
            <xm:f>Parametros!#REF!</xm:f>
            <x14:dxf>
              <fill>
                <patternFill>
                  <bgColor rgb="FFFFFF99"/>
                </patternFill>
              </fill>
            </x14:dxf>
          </x14:cfRule>
          <x14:cfRule type="cellIs" priority="51" operator="equal" id="{0C8BC538-659B-49D7-B832-72CAE4386BDF}">
            <xm:f>Parametros!#REF!</xm:f>
            <x14:dxf>
              <fill>
                <patternFill>
                  <bgColor theme="8" tint="0.79998168889431442"/>
                </patternFill>
              </fill>
            </x14:dxf>
          </x14:cfRule>
          <x14:cfRule type="cellIs" priority="52" operator="equal" id="{9F0C1FD3-5441-49A8-82CC-123F2A1AC93D}">
            <xm:f>Parametros!#REF!</xm:f>
            <x14:dxf>
              <fill>
                <patternFill>
                  <bgColor theme="6" tint="0.59996337778862885"/>
                </patternFill>
              </fill>
            </x14:dxf>
          </x14:cfRule>
          <x14:cfRule type="cellIs" priority="53" operator="equal" id="{68F20E8B-05EF-49B3-825E-311250110C38}">
            <xm:f>Parametros!#REF!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ellIs" priority="54" operator="equal" id="{BE8CEF5F-30ED-4FCF-8C36-55BD9CD9719F}">
            <xm:f>Parametros!#REF!</xm:f>
            <x14:dxf>
              <font>
                <color auto="1"/>
              </font>
              <fill>
                <patternFill>
                  <bgColor theme="3" tint="0.749961851863155"/>
                </patternFill>
              </fill>
            </x14:dxf>
          </x14:cfRule>
          <x14:cfRule type="cellIs" priority="55" operator="equal" id="{4D573A65-5270-4E69-9D68-479F1D07B8C2}">
            <xm:f>Parametros!#REF!</xm:f>
            <x14:dxf>
              <fill>
                <patternFill>
                  <bgColor theme="5" tint="0.79998168889431442"/>
                </patternFill>
              </fill>
            </x14:dxf>
          </x14:cfRule>
          <xm:sqref>C7:J7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Parametros!$A$3:$A$50</xm:f>
          </x14:formula1>
          <xm:sqref>C7:J7</xm:sqref>
        </x14:dataValidation>
        <x14:dataValidation type="list" allowBlank="1" showInputMessage="1" showErrorMessage="1">
          <x14:formula1>
            <xm:f>Parametros!$A$54:$A$56</xm:f>
          </x14:formula1>
          <xm:sqref>D2:I4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/>
  </sheetPr>
  <dimension ref="A1:BQ56"/>
  <sheetViews>
    <sheetView zoomScale="80" zoomScaleNormal="80" workbookViewId="0">
      <selection activeCell="N25" sqref="N25"/>
    </sheetView>
  </sheetViews>
  <sheetFormatPr baseColWidth="10" defaultColWidth="11.5" defaultRowHeight="14.25"/>
  <cols>
    <col min="1" max="1" width="21.5" bestFit="1" customWidth="1"/>
    <col min="7" max="7" width="23.625" bestFit="1" customWidth="1"/>
    <col min="14" max="14" width="16.375" customWidth="1"/>
    <col min="15" max="15" width="22.875" bestFit="1" customWidth="1"/>
    <col min="23" max="23" width="22.875" bestFit="1" customWidth="1"/>
    <col min="31" max="31" width="22.875" bestFit="1" customWidth="1"/>
    <col min="39" max="39" width="22.875" bestFit="1" customWidth="1"/>
    <col min="47" max="47" width="22.875" bestFit="1" customWidth="1"/>
    <col min="55" max="55" width="22.875" bestFit="1" customWidth="1"/>
    <col min="63" max="63" width="22.875" bestFit="1" customWidth="1"/>
  </cols>
  <sheetData>
    <row r="1" spans="1:69" ht="15.75" thickBot="1">
      <c r="A1" s="116" t="s">
        <v>98</v>
      </c>
      <c r="B1" s="116"/>
      <c r="C1" s="116"/>
      <c r="D1" s="116"/>
      <c r="E1" s="116"/>
      <c r="G1" s="107" t="s">
        <v>42</v>
      </c>
      <c r="H1" s="107"/>
      <c r="I1" s="107"/>
      <c r="J1" s="107"/>
      <c r="K1" s="107"/>
      <c r="L1" s="107"/>
      <c r="M1" s="107"/>
      <c r="O1" s="107" t="s">
        <v>43</v>
      </c>
      <c r="P1" s="107"/>
      <c r="Q1" s="107"/>
      <c r="R1" s="107"/>
      <c r="S1" s="107"/>
      <c r="T1" s="107"/>
      <c r="U1" s="107"/>
      <c r="W1" s="107" t="s">
        <v>44</v>
      </c>
      <c r="X1" s="107"/>
      <c r="Y1" s="107"/>
      <c r="Z1" s="107"/>
      <c r="AA1" s="107"/>
      <c r="AB1" s="107"/>
      <c r="AC1" s="107"/>
      <c r="AE1" s="107" t="s">
        <v>45</v>
      </c>
      <c r="AF1" s="107"/>
      <c r="AG1" s="107"/>
      <c r="AH1" s="107"/>
      <c r="AI1" s="107"/>
      <c r="AJ1" s="107"/>
      <c r="AK1" s="107"/>
      <c r="AM1" s="107" t="s">
        <v>46</v>
      </c>
      <c r="AN1" s="107"/>
      <c r="AO1" s="107"/>
      <c r="AP1" s="107"/>
      <c r="AQ1" s="107"/>
      <c r="AR1" s="107"/>
      <c r="AS1" s="107"/>
      <c r="AU1" s="107" t="s">
        <v>47</v>
      </c>
      <c r="AV1" s="107"/>
      <c r="AW1" s="107"/>
      <c r="AX1" s="107"/>
      <c r="AY1" s="107"/>
      <c r="AZ1" s="107"/>
      <c r="BA1" s="107"/>
      <c r="BC1" s="107" t="s">
        <v>48</v>
      </c>
      <c r="BD1" s="107"/>
      <c r="BE1" s="107"/>
      <c r="BF1" s="107"/>
      <c r="BG1" s="107"/>
      <c r="BH1" s="107"/>
      <c r="BI1" s="107"/>
      <c r="BK1" s="115" t="s">
        <v>49</v>
      </c>
      <c r="BL1" s="107"/>
      <c r="BM1" s="107"/>
      <c r="BN1" s="107"/>
      <c r="BO1" s="107"/>
      <c r="BP1" s="107"/>
      <c r="BQ1" s="107"/>
    </row>
    <row r="2" spans="1:69" ht="15.75" thickBot="1">
      <c r="A2" s="46" t="s">
        <v>95</v>
      </c>
      <c r="B2" s="112" t="s">
        <v>96</v>
      </c>
      <c r="C2" s="113"/>
      <c r="D2" s="113"/>
      <c r="E2" s="114"/>
      <c r="G2" s="54" t="s">
        <v>95</v>
      </c>
      <c r="H2" s="105" t="s">
        <v>96</v>
      </c>
      <c r="I2" s="106"/>
      <c r="J2" s="106"/>
      <c r="K2" s="106"/>
      <c r="L2" s="54" t="s">
        <v>1</v>
      </c>
      <c r="M2" s="55" t="s">
        <v>2</v>
      </c>
      <c r="O2" s="59" t="s">
        <v>95</v>
      </c>
      <c r="P2" s="108" t="s">
        <v>96</v>
      </c>
      <c r="Q2" s="109"/>
      <c r="R2" s="109"/>
      <c r="S2" s="109"/>
      <c r="T2" s="59" t="s">
        <v>1</v>
      </c>
      <c r="U2" s="60" t="s">
        <v>2</v>
      </c>
      <c r="W2" s="54" t="s">
        <v>95</v>
      </c>
      <c r="X2" s="105" t="s">
        <v>96</v>
      </c>
      <c r="Y2" s="106"/>
      <c r="Z2" s="106"/>
      <c r="AA2" s="106"/>
      <c r="AB2" s="54" t="s">
        <v>1</v>
      </c>
      <c r="AC2" s="55" t="s">
        <v>2</v>
      </c>
      <c r="AE2" s="59" t="s">
        <v>95</v>
      </c>
      <c r="AF2" s="108" t="s">
        <v>96</v>
      </c>
      <c r="AG2" s="109"/>
      <c r="AH2" s="109"/>
      <c r="AI2" s="109"/>
      <c r="AJ2" s="59" t="s">
        <v>1</v>
      </c>
      <c r="AK2" s="60" t="s">
        <v>2</v>
      </c>
      <c r="AM2" s="54" t="s">
        <v>95</v>
      </c>
      <c r="AN2" s="105" t="s">
        <v>96</v>
      </c>
      <c r="AO2" s="106"/>
      <c r="AP2" s="106"/>
      <c r="AQ2" s="106"/>
      <c r="AR2" s="54" t="s">
        <v>1</v>
      </c>
      <c r="AS2" s="55" t="s">
        <v>2</v>
      </c>
      <c r="AU2" s="59" t="s">
        <v>95</v>
      </c>
      <c r="AV2" s="108" t="s">
        <v>96</v>
      </c>
      <c r="AW2" s="109"/>
      <c r="AX2" s="109"/>
      <c r="AY2" s="109"/>
      <c r="AZ2" s="59" t="s">
        <v>1</v>
      </c>
      <c r="BA2" s="60" t="s">
        <v>2</v>
      </c>
      <c r="BC2" s="54" t="s">
        <v>95</v>
      </c>
      <c r="BD2" s="105" t="s">
        <v>96</v>
      </c>
      <c r="BE2" s="106"/>
      <c r="BF2" s="106"/>
      <c r="BG2" s="106"/>
      <c r="BH2" s="54" t="s">
        <v>1</v>
      </c>
      <c r="BI2" s="55" t="s">
        <v>2</v>
      </c>
      <c r="BK2" s="59" t="s">
        <v>95</v>
      </c>
      <c r="BL2" s="108" t="s">
        <v>96</v>
      </c>
      <c r="BM2" s="109"/>
      <c r="BN2" s="109"/>
      <c r="BO2" s="109"/>
      <c r="BP2" s="59" t="s">
        <v>1</v>
      </c>
      <c r="BQ2" s="60" t="s">
        <v>2</v>
      </c>
    </row>
    <row r="3" spans="1:69">
      <c r="A3" s="47" t="s">
        <v>6</v>
      </c>
      <c r="B3" s="48" t="s">
        <v>0</v>
      </c>
      <c r="C3" s="49" t="s">
        <v>63</v>
      </c>
      <c r="D3" s="49" t="s">
        <v>65</v>
      </c>
      <c r="E3" s="49" t="s">
        <v>97</v>
      </c>
      <c r="G3" s="56" t="s">
        <v>6</v>
      </c>
      <c r="H3" s="43">
        <v>24</v>
      </c>
      <c r="I3" s="42">
        <v>31</v>
      </c>
      <c r="J3" s="42">
        <v>33</v>
      </c>
      <c r="K3" s="42">
        <v>0</v>
      </c>
      <c r="L3" s="42">
        <v>120</v>
      </c>
      <c r="M3" s="42">
        <v>100</v>
      </c>
      <c r="O3" s="61" t="s">
        <v>6</v>
      </c>
      <c r="P3" s="43">
        <v>24</v>
      </c>
      <c r="Q3" s="42">
        <v>31</v>
      </c>
      <c r="R3" s="42">
        <v>33</v>
      </c>
      <c r="S3" s="42">
        <v>0</v>
      </c>
      <c r="T3" s="42">
        <v>120</v>
      </c>
      <c r="U3" s="42">
        <v>100</v>
      </c>
      <c r="W3" s="56" t="s">
        <v>6</v>
      </c>
      <c r="X3" s="43">
        <v>24</v>
      </c>
      <c r="Y3" s="42">
        <v>31</v>
      </c>
      <c r="Z3" s="42">
        <v>33</v>
      </c>
      <c r="AA3" s="42">
        <v>0</v>
      </c>
      <c r="AB3" s="42">
        <v>120</v>
      </c>
      <c r="AC3" s="42">
        <v>100</v>
      </c>
      <c r="AE3" s="61" t="s">
        <v>6</v>
      </c>
      <c r="AF3" s="43">
        <v>24</v>
      </c>
      <c r="AG3" s="42">
        <v>31</v>
      </c>
      <c r="AH3" s="42">
        <v>33</v>
      </c>
      <c r="AI3" s="42">
        <v>0</v>
      </c>
      <c r="AJ3" s="42">
        <v>120</v>
      </c>
      <c r="AK3" s="42">
        <v>100</v>
      </c>
      <c r="AM3" s="56" t="s">
        <v>6</v>
      </c>
      <c r="AN3" s="43">
        <v>24</v>
      </c>
      <c r="AO3" s="42">
        <v>31</v>
      </c>
      <c r="AP3" s="42">
        <v>33</v>
      </c>
      <c r="AQ3" s="42">
        <v>0</v>
      </c>
      <c r="AR3" s="42">
        <v>120</v>
      </c>
      <c r="AS3" s="42">
        <v>100</v>
      </c>
      <c r="AU3" s="61" t="s">
        <v>6</v>
      </c>
      <c r="AV3" s="43">
        <v>24</v>
      </c>
      <c r="AW3" s="42">
        <v>31</v>
      </c>
      <c r="AX3" s="42">
        <v>33</v>
      </c>
      <c r="AY3" s="42">
        <v>0</v>
      </c>
      <c r="AZ3" s="42">
        <v>120</v>
      </c>
      <c r="BA3" s="42">
        <v>100</v>
      </c>
      <c r="BC3" s="56" t="s">
        <v>6</v>
      </c>
      <c r="BD3" s="43">
        <v>24</v>
      </c>
      <c r="BE3" s="42">
        <v>31</v>
      </c>
      <c r="BF3" s="42">
        <v>33</v>
      </c>
      <c r="BG3" s="42">
        <v>0</v>
      </c>
      <c r="BH3" s="42">
        <v>120</v>
      </c>
      <c r="BI3" s="42">
        <v>100</v>
      </c>
      <c r="BK3" s="61" t="s">
        <v>6</v>
      </c>
      <c r="BL3" s="43">
        <v>24</v>
      </c>
      <c r="BM3" s="42">
        <v>31</v>
      </c>
      <c r="BN3" s="42">
        <v>33</v>
      </c>
      <c r="BO3" s="42">
        <v>0</v>
      </c>
      <c r="BP3" s="42">
        <v>120</v>
      </c>
      <c r="BQ3" s="42">
        <v>100</v>
      </c>
    </row>
    <row r="4" spans="1:69">
      <c r="A4" s="50" t="s">
        <v>83</v>
      </c>
      <c r="B4" s="51" t="s">
        <v>65</v>
      </c>
      <c r="C4" s="52" t="s">
        <v>97</v>
      </c>
      <c r="D4" s="52" t="s">
        <v>97</v>
      </c>
      <c r="E4" s="52" t="s">
        <v>97</v>
      </c>
      <c r="G4" s="57" t="s">
        <v>83</v>
      </c>
      <c r="H4" s="44">
        <v>38</v>
      </c>
      <c r="I4" s="34">
        <v>0</v>
      </c>
      <c r="J4" s="34">
        <v>0</v>
      </c>
      <c r="K4" s="34">
        <v>0</v>
      </c>
      <c r="L4" s="34">
        <v>120</v>
      </c>
      <c r="M4" s="34">
        <v>100</v>
      </c>
      <c r="O4" s="62" t="s">
        <v>83</v>
      </c>
      <c r="P4" s="44">
        <v>38</v>
      </c>
      <c r="Q4" s="34">
        <v>0</v>
      </c>
      <c r="R4" s="34">
        <v>0</v>
      </c>
      <c r="S4" s="34">
        <v>0</v>
      </c>
      <c r="T4" s="34">
        <v>120</v>
      </c>
      <c r="U4" s="34">
        <v>100</v>
      </c>
      <c r="W4" s="57" t="s">
        <v>83</v>
      </c>
      <c r="X4" s="44">
        <v>38</v>
      </c>
      <c r="Y4" s="34">
        <v>0</v>
      </c>
      <c r="Z4" s="34">
        <v>0</v>
      </c>
      <c r="AA4" s="34">
        <v>0</v>
      </c>
      <c r="AB4" s="34">
        <v>120</v>
      </c>
      <c r="AC4" s="34">
        <v>100</v>
      </c>
      <c r="AE4" s="62" t="s">
        <v>83</v>
      </c>
      <c r="AF4" s="44">
        <v>38</v>
      </c>
      <c r="AG4" s="34">
        <v>0</v>
      </c>
      <c r="AH4" s="34">
        <v>0</v>
      </c>
      <c r="AI4" s="34">
        <v>0</v>
      </c>
      <c r="AJ4" s="34">
        <v>120</v>
      </c>
      <c r="AK4" s="34">
        <v>100</v>
      </c>
      <c r="AM4" s="57" t="s">
        <v>83</v>
      </c>
      <c r="AN4" s="44">
        <v>38</v>
      </c>
      <c r="AO4" s="34">
        <v>0</v>
      </c>
      <c r="AP4" s="34">
        <v>0</v>
      </c>
      <c r="AQ4" s="34">
        <v>0</v>
      </c>
      <c r="AR4" s="34">
        <v>120</v>
      </c>
      <c r="AS4" s="34">
        <v>100</v>
      </c>
      <c r="AU4" s="62" t="s">
        <v>83</v>
      </c>
      <c r="AV4" s="44">
        <v>38</v>
      </c>
      <c r="AW4" s="34">
        <v>0</v>
      </c>
      <c r="AX4" s="34">
        <v>0</v>
      </c>
      <c r="AY4" s="34">
        <v>0</v>
      </c>
      <c r="AZ4" s="34">
        <v>120</v>
      </c>
      <c r="BA4" s="34">
        <v>100</v>
      </c>
      <c r="BC4" s="57" t="s">
        <v>83</v>
      </c>
      <c r="BD4" s="44">
        <v>38</v>
      </c>
      <c r="BE4" s="34">
        <v>0</v>
      </c>
      <c r="BF4" s="34">
        <v>0</v>
      </c>
      <c r="BG4" s="34">
        <v>0</v>
      </c>
      <c r="BH4" s="34">
        <v>120</v>
      </c>
      <c r="BI4" s="34">
        <v>100</v>
      </c>
      <c r="BK4" s="62" t="s">
        <v>83</v>
      </c>
      <c r="BL4" s="44">
        <v>38</v>
      </c>
      <c r="BM4" s="34">
        <v>0</v>
      </c>
      <c r="BN4" s="34">
        <v>0</v>
      </c>
      <c r="BO4" s="34">
        <v>0</v>
      </c>
      <c r="BP4" s="34">
        <v>120</v>
      </c>
      <c r="BQ4" s="34">
        <v>100</v>
      </c>
    </row>
    <row r="5" spans="1:69">
      <c r="A5" s="50" t="s">
        <v>22</v>
      </c>
      <c r="B5" s="51" t="s">
        <v>0</v>
      </c>
      <c r="C5" s="52" t="s">
        <v>63</v>
      </c>
      <c r="D5" s="52" t="s">
        <v>97</v>
      </c>
      <c r="E5" s="52" t="s">
        <v>97</v>
      </c>
      <c r="G5" s="57" t="s">
        <v>22</v>
      </c>
      <c r="H5" s="44">
        <v>11</v>
      </c>
      <c r="I5" s="34">
        <v>11</v>
      </c>
      <c r="J5" s="34">
        <v>0</v>
      </c>
      <c r="K5" s="34">
        <v>0</v>
      </c>
      <c r="L5" s="34">
        <v>140</v>
      </c>
      <c r="M5" s="34">
        <v>100</v>
      </c>
      <c r="O5" s="62" t="s">
        <v>22</v>
      </c>
      <c r="P5" s="44">
        <v>11</v>
      </c>
      <c r="Q5" s="34">
        <v>11</v>
      </c>
      <c r="R5" s="34">
        <v>0</v>
      </c>
      <c r="S5" s="34">
        <v>0</v>
      </c>
      <c r="T5" s="34">
        <v>140</v>
      </c>
      <c r="U5" s="34">
        <v>100</v>
      </c>
      <c r="W5" s="57" t="s">
        <v>22</v>
      </c>
      <c r="X5" s="44">
        <v>11</v>
      </c>
      <c r="Y5" s="34">
        <v>11</v>
      </c>
      <c r="Z5" s="34">
        <v>0</v>
      </c>
      <c r="AA5" s="34">
        <v>0</v>
      </c>
      <c r="AB5" s="34">
        <v>140</v>
      </c>
      <c r="AC5" s="34">
        <v>100</v>
      </c>
      <c r="AE5" s="62" t="s">
        <v>22</v>
      </c>
      <c r="AF5" s="44">
        <v>11</v>
      </c>
      <c r="AG5" s="34">
        <v>11</v>
      </c>
      <c r="AH5" s="34">
        <v>0</v>
      </c>
      <c r="AI5" s="34">
        <v>0</v>
      </c>
      <c r="AJ5" s="34">
        <v>140</v>
      </c>
      <c r="AK5" s="34">
        <v>100</v>
      </c>
      <c r="AM5" s="57" t="s">
        <v>22</v>
      </c>
      <c r="AN5" s="44">
        <v>11</v>
      </c>
      <c r="AO5" s="34">
        <v>11</v>
      </c>
      <c r="AP5" s="34">
        <v>0</v>
      </c>
      <c r="AQ5" s="34">
        <v>0</v>
      </c>
      <c r="AR5" s="34">
        <v>140</v>
      </c>
      <c r="AS5" s="34">
        <v>100</v>
      </c>
      <c r="AU5" s="62" t="s">
        <v>22</v>
      </c>
      <c r="AV5" s="44">
        <v>11</v>
      </c>
      <c r="AW5" s="34">
        <v>11</v>
      </c>
      <c r="AX5" s="34">
        <v>0</v>
      </c>
      <c r="AY5" s="34">
        <v>0</v>
      </c>
      <c r="AZ5" s="34">
        <v>140</v>
      </c>
      <c r="BA5" s="34">
        <v>100</v>
      </c>
      <c r="BC5" s="57" t="s">
        <v>22</v>
      </c>
      <c r="BD5" s="44">
        <v>11</v>
      </c>
      <c r="BE5" s="34">
        <v>11</v>
      </c>
      <c r="BF5" s="34">
        <v>0</v>
      </c>
      <c r="BG5" s="34">
        <v>0</v>
      </c>
      <c r="BH5" s="34">
        <v>140</v>
      </c>
      <c r="BI5" s="34">
        <v>100</v>
      </c>
      <c r="BK5" s="62" t="s">
        <v>22</v>
      </c>
      <c r="BL5" s="44">
        <v>11</v>
      </c>
      <c r="BM5" s="34">
        <v>11</v>
      </c>
      <c r="BN5" s="34">
        <v>0</v>
      </c>
      <c r="BO5" s="34">
        <v>0</v>
      </c>
      <c r="BP5" s="34">
        <v>140</v>
      </c>
      <c r="BQ5" s="34">
        <v>100</v>
      </c>
    </row>
    <row r="6" spans="1:69">
      <c r="A6" s="50" t="s">
        <v>19</v>
      </c>
      <c r="B6" s="51" t="s">
        <v>93</v>
      </c>
      <c r="C6" s="52" t="s">
        <v>97</v>
      </c>
      <c r="D6" s="52" t="s">
        <v>97</v>
      </c>
      <c r="E6" s="52" t="s">
        <v>97</v>
      </c>
      <c r="G6" s="57" t="s">
        <v>19</v>
      </c>
      <c r="H6" s="44">
        <v>16</v>
      </c>
      <c r="I6" s="34">
        <v>0</v>
      </c>
      <c r="J6" s="34">
        <v>0</v>
      </c>
      <c r="K6" s="34">
        <v>0</v>
      </c>
      <c r="L6" s="34">
        <v>140</v>
      </c>
      <c r="M6" s="34">
        <v>100</v>
      </c>
      <c r="O6" s="62" t="s">
        <v>19</v>
      </c>
      <c r="P6" s="44">
        <v>16</v>
      </c>
      <c r="Q6" s="34">
        <v>0</v>
      </c>
      <c r="R6" s="34">
        <v>0</v>
      </c>
      <c r="S6" s="34">
        <v>0</v>
      </c>
      <c r="T6" s="34">
        <v>140</v>
      </c>
      <c r="U6" s="34">
        <v>100</v>
      </c>
      <c r="W6" s="57" t="s">
        <v>19</v>
      </c>
      <c r="X6" s="44">
        <v>16</v>
      </c>
      <c r="Y6" s="34">
        <v>0</v>
      </c>
      <c r="Z6" s="34">
        <v>0</v>
      </c>
      <c r="AA6" s="34">
        <v>0</v>
      </c>
      <c r="AB6" s="34">
        <v>140</v>
      </c>
      <c r="AC6" s="34">
        <v>100</v>
      </c>
      <c r="AE6" s="62" t="s">
        <v>19</v>
      </c>
      <c r="AF6" s="44">
        <v>16</v>
      </c>
      <c r="AG6" s="34">
        <v>0</v>
      </c>
      <c r="AH6" s="34">
        <v>0</v>
      </c>
      <c r="AI6" s="34">
        <v>0</v>
      </c>
      <c r="AJ6" s="34">
        <v>140</v>
      </c>
      <c r="AK6" s="34">
        <v>100</v>
      </c>
      <c r="AM6" s="57" t="s">
        <v>19</v>
      </c>
      <c r="AN6" s="44">
        <v>16</v>
      </c>
      <c r="AO6" s="34">
        <v>0</v>
      </c>
      <c r="AP6" s="34">
        <v>0</v>
      </c>
      <c r="AQ6" s="34">
        <v>0</v>
      </c>
      <c r="AR6" s="34">
        <v>140</v>
      </c>
      <c r="AS6" s="34">
        <v>100</v>
      </c>
      <c r="AU6" s="62" t="s">
        <v>19</v>
      </c>
      <c r="AV6" s="44">
        <v>16</v>
      </c>
      <c r="AW6" s="34">
        <v>0</v>
      </c>
      <c r="AX6" s="34">
        <v>0</v>
      </c>
      <c r="AY6" s="34">
        <v>0</v>
      </c>
      <c r="AZ6" s="34">
        <v>140</v>
      </c>
      <c r="BA6" s="34">
        <v>100</v>
      </c>
      <c r="BC6" s="57" t="s">
        <v>19</v>
      </c>
      <c r="BD6" s="44">
        <v>16</v>
      </c>
      <c r="BE6" s="34">
        <v>0</v>
      </c>
      <c r="BF6" s="34">
        <v>0</v>
      </c>
      <c r="BG6" s="34">
        <v>0</v>
      </c>
      <c r="BH6" s="34">
        <v>140</v>
      </c>
      <c r="BI6" s="34">
        <v>100</v>
      </c>
      <c r="BK6" s="62" t="s">
        <v>19</v>
      </c>
      <c r="BL6" s="44">
        <v>16</v>
      </c>
      <c r="BM6" s="34">
        <v>0</v>
      </c>
      <c r="BN6" s="34">
        <v>0</v>
      </c>
      <c r="BO6" s="34">
        <v>0</v>
      </c>
      <c r="BP6" s="34">
        <v>140</v>
      </c>
      <c r="BQ6" s="34">
        <v>100</v>
      </c>
    </row>
    <row r="7" spans="1:69">
      <c r="A7" s="50" t="s">
        <v>8</v>
      </c>
      <c r="B7" s="51" t="s">
        <v>0</v>
      </c>
      <c r="C7" s="52" t="s">
        <v>63</v>
      </c>
      <c r="D7" s="52" t="s">
        <v>97</v>
      </c>
      <c r="E7" s="52" t="s">
        <v>97</v>
      </c>
      <c r="G7" s="57" t="s">
        <v>8</v>
      </c>
      <c r="H7" s="44">
        <v>11</v>
      </c>
      <c r="I7" s="34">
        <v>11</v>
      </c>
      <c r="J7" s="34">
        <v>0</v>
      </c>
      <c r="K7" s="34">
        <v>0</v>
      </c>
      <c r="L7" s="34">
        <v>140</v>
      </c>
      <c r="M7" s="34">
        <v>100</v>
      </c>
      <c r="O7" s="62" t="s">
        <v>8</v>
      </c>
      <c r="P7" s="44">
        <v>11</v>
      </c>
      <c r="Q7" s="34">
        <v>11</v>
      </c>
      <c r="R7" s="34">
        <v>0</v>
      </c>
      <c r="S7" s="34">
        <v>0</v>
      </c>
      <c r="T7" s="34">
        <v>140</v>
      </c>
      <c r="U7" s="34">
        <v>100</v>
      </c>
      <c r="W7" s="57" t="s">
        <v>8</v>
      </c>
      <c r="X7" s="44">
        <v>11</v>
      </c>
      <c r="Y7" s="34">
        <v>11</v>
      </c>
      <c r="Z7" s="34">
        <v>0</v>
      </c>
      <c r="AA7" s="34">
        <v>0</v>
      </c>
      <c r="AB7" s="34">
        <v>140</v>
      </c>
      <c r="AC7" s="34">
        <v>100</v>
      </c>
      <c r="AE7" s="62" t="s">
        <v>8</v>
      </c>
      <c r="AF7" s="44">
        <v>11</v>
      </c>
      <c r="AG7" s="34">
        <v>11</v>
      </c>
      <c r="AH7" s="34">
        <v>0</v>
      </c>
      <c r="AI7" s="34">
        <v>0</v>
      </c>
      <c r="AJ7" s="34">
        <v>140</v>
      </c>
      <c r="AK7" s="34">
        <v>100</v>
      </c>
      <c r="AM7" s="57" t="s">
        <v>8</v>
      </c>
      <c r="AN7" s="44">
        <v>11</v>
      </c>
      <c r="AO7" s="34">
        <v>11</v>
      </c>
      <c r="AP7" s="34">
        <v>0</v>
      </c>
      <c r="AQ7" s="34">
        <v>0</v>
      </c>
      <c r="AR7" s="34">
        <v>140</v>
      </c>
      <c r="AS7" s="34">
        <v>100</v>
      </c>
      <c r="AU7" s="62" t="s">
        <v>8</v>
      </c>
      <c r="AV7" s="44">
        <v>11</v>
      </c>
      <c r="AW7" s="34">
        <v>11</v>
      </c>
      <c r="AX7" s="34">
        <v>0</v>
      </c>
      <c r="AY7" s="34">
        <v>0</v>
      </c>
      <c r="AZ7" s="34">
        <v>140</v>
      </c>
      <c r="BA7" s="34">
        <v>100</v>
      </c>
      <c r="BC7" s="57" t="s">
        <v>8</v>
      </c>
      <c r="BD7" s="44">
        <v>11</v>
      </c>
      <c r="BE7" s="34">
        <v>11</v>
      </c>
      <c r="BF7" s="34">
        <v>0</v>
      </c>
      <c r="BG7" s="34">
        <v>0</v>
      </c>
      <c r="BH7" s="34">
        <v>140</v>
      </c>
      <c r="BI7" s="34">
        <v>100</v>
      </c>
      <c r="BK7" s="62" t="s">
        <v>8</v>
      </c>
      <c r="BL7" s="44">
        <v>11</v>
      </c>
      <c r="BM7" s="34">
        <v>11</v>
      </c>
      <c r="BN7" s="34">
        <v>0</v>
      </c>
      <c r="BO7" s="34">
        <v>0</v>
      </c>
      <c r="BP7" s="34">
        <v>140</v>
      </c>
      <c r="BQ7" s="34">
        <v>100</v>
      </c>
    </row>
    <row r="8" spans="1:69">
      <c r="A8" s="50" t="s">
        <v>71</v>
      </c>
      <c r="B8" s="51" t="s">
        <v>63</v>
      </c>
      <c r="C8" s="52" t="s">
        <v>58</v>
      </c>
      <c r="D8" s="52" t="s">
        <v>97</v>
      </c>
      <c r="E8" s="52" t="s">
        <v>97</v>
      </c>
      <c r="G8" s="57" t="s">
        <v>71</v>
      </c>
      <c r="H8" s="44">
        <v>8</v>
      </c>
      <c r="I8" s="34">
        <v>9</v>
      </c>
      <c r="J8" s="34">
        <v>0</v>
      </c>
      <c r="K8" s="34">
        <v>0</v>
      </c>
      <c r="L8" s="34">
        <v>140</v>
      </c>
      <c r="M8" s="34">
        <v>100</v>
      </c>
      <c r="O8" s="62" t="s">
        <v>71</v>
      </c>
      <c r="P8" s="44">
        <v>8</v>
      </c>
      <c r="Q8" s="34">
        <v>9</v>
      </c>
      <c r="R8" s="34">
        <v>0</v>
      </c>
      <c r="S8" s="34">
        <v>0</v>
      </c>
      <c r="T8" s="34">
        <v>140</v>
      </c>
      <c r="U8" s="34">
        <v>100</v>
      </c>
      <c r="W8" s="57" t="s">
        <v>71</v>
      </c>
      <c r="X8" s="44">
        <v>8</v>
      </c>
      <c r="Y8" s="34">
        <v>9</v>
      </c>
      <c r="Z8" s="34">
        <v>0</v>
      </c>
      <c r="AA8" s="34">
        <v>0</v>
      </c>
      <c r="AB8" s="34">
        <v>140</v>
      </c>
      <c r="AC8" s="34">
        <v>100</v>
      </c>
      <c r="AE8" s="62" t="s">
        <v>71</v>
      </c>
      <c r="AF8" s="44">
        <v>8</v>
      </c>
      <c r="AG8" s="34">
        <v>9</v>
      </c>
      <c r="AH8" s="34">
        <v>0</v>
      </c>
      <c r="AI8" s="34">
        <v>0</v>
      </c>
      <c r="AJ8" s="34">
        <v>140</v>
      </c>
      <c r="AK8" s="34">
        <v>100</v>
      </c>
      <c r="AM8" s="57" t="s">
        <v>71</v>
      </c>
      <c r="AN8" s="44">
        <v>8</v>
      </c>
      <c r="AO8" s="34">
        <v>9</v>
      </c>
      <c r="AP8" s="34">
        <v>0</v>
      </c>
      <c r="AQ8" s="34">
        <v>0</v>
      </c>
      <c r="AR8" s="34">
        <v>140</v>
      </c>
      <c r="AS8" s="34">
        <v>100</v>
      </c>
      <c r="AU8" s="62" t="s">
        <v>71</v>
      </c>
      <c r="AV8" s="44">
        <v>8</v>
      </c>
      <c r="AW8" s="34">
        <v>9</v>
      </c>
      <c r="AX8" s="34">
        <v>0</v>
      </c>
      <c r="AY8" s="34">
        <v>0</v>
      </c>
      <c r="AZ8" s="34">
        <v>140</v>
      </c>
      <c r="BA8" s="34">
        <v>100</v>
      </c>
      <c r="BC8" s="57" t="s">
        <v>71</v>
      </c>
      <c r="BD8" s="44">
        <v>8</v>
      </c>
      <c r="BE8" s="34">
        <v>9</v>
      </c>
      <c r="BF8" s="34">
        <v>0</v>
      </c>
      <c r="BG8" s="34">
        <v>0</v>
      </c>
      <c r="BH8" s="34">
        <v>140</v>
      </c>
      <c r="BI8" s="34">
        <v>100</v>
      </c>
      <c r="BK8" s="62" t="s">
        <v>71</v>
      </c>
      <c r="BL8" s="44">
        <v>8</v>
      </c>
      <c r="BM8" s="34">
        <v>9</v>
      </c>
      <c r="BN8" s="34">
        <v>0</v>
      </c>
      <c r="BO8" s="34">
        <v>0</v>
      </c>
      <c r="BP8" s="34">
        <v>140</v>
      </c>
      <c r="BQ8" s="34">
        <v>100</v>
      </c>
    </row>
    <row r="9" spans="1:69">
      <c r="A9" s="50" t="s">
        <v>74</v>
      </c>
      <c r="B9" s="51" t="s">
        <v>0</v>
      </c>
      <c r="C9" s="52" t="s">
        <v>63</v>
      </c>
      <c r="D9" s="52" t="s">
        <v>85</v>
      </c>
      <c r="E9" s="52" t="s">
        <v>97</v>
      </c>
      <c r="G9" s="57" t="s">
        <v>74</v>
      </c>
      <c r="H9" s="44">
        <v>24</v>
      </c>
      <c r="I9" s="34">
        <v>16</v>
      </c>
      <c r="J9" s="34">
        <v>25</v>
      </c>
      <c r="K9" s="34">
        <v>0</v>
      </c>
      <c r="L9" s="34">
        <v>140</v>
      </c>
      <c r="M9" s="34">
        <v>100</v>
      </c>
      <c r="O9" s="62" t="s">
        <v>74</v>
      </c>
      <c r="P9" s="44">
        <v>24</v>
      </c>
      <c r="Q9" s="34">
        <v>16</v>
      </c>
      <c r="R9" s="34">
        <v>25</v>
      </c>
      <c r="S9" s="34">
        <v>0</v>
      </c>
      <c r="T9" s="34">
        <v>140</v>
      </c>
      <c r="U9" s="34">
        <v>100</v>
      </c>
      <c r="W9" s="57" t="s">
        <v>74</v>
      </c>
      <c r="X9" s="44">
        <v>24</v>
      </c>
      <c r="Y9" s="34">
        <v>16</v>
      </c>
      <c r="Z9" s="34">
        <v>25</v>
      </c>
      <c r="AA9" s="34">
        <v>0</v>
      </c>
      <c r="AB9" s="34">
        <v>140</v>
      </c>
      <c r="AC9" s="34">
        <v>100</v>
      </c>
      <c r="AE9" s="62" t="s">
        <v>74</v>
      </c>
      <c r="AF9" s="44">
        <v>24</v>
      </c>
      <c r="AG9" s="34">
        <v>16</v>
      </c>
      <c r="AH9" s="34">
        <v>25</v>
      </c>
      <c r="AI9" s="34">
        <v>0</v>
      </c>
      <c r="AJ9" s="34">
        <v>140</v>
      </c>
      <c r="AK9" s="34">
        <v>100</v>
      </c>
      <c r="AM9" s="57" t="s">
        <v>74</v>
      </c>
      <c r="AN9" s="44">
        <v>24</v>
      </c>
      <c r="AO9" s="34">
        <v>16</v>
      </c>
      <c r="AP9" s="34">
        <v>25</v>
      </c>
      <c r="AQ9" s="34">
        <v>0</v>
      </c>
      <c r="AR9" s="34">
        <v>140</v>
      </c>
      <c r="AS9" s="34">
        <v>100</v>
      </c>
      <c r="AU9" s="62" t="s">
        <v>74</v>
      </c>
      <c r="AV9" s="44">
        <v>24</v>
      </c>
      <c r="AW9" s="34">
        <v>16</v>
      </c>
      <c r="AX9" s="34">
        <v>25</v>
      </c>
      <c r="AY9" s="34">
        <v>0</v>
      </c>
      <c r="AZ9" s="34">
        <v>140</v>
      </c>
      <c r="BA9" s="34">
        <v>100</v>
      </c>
      <c r="BC9" s="57" t="s">
        <v>74</v>
      </c>
      <c r="BD9" s="44">
        <v>24</v>
      </c>
      <c r="BE9" s="34">
        <v>16</v>
      </c>
      <c r="BF9" s="34">
        <v>25</v>
      </c>
      <c r="BG9" s="34">
        <v>0</v>
      </c>
      <c r="BH9" s="34">
        <v>140</v>
      </c>
      <c r="BI9" s="34">
        <v>100</v>
      </c>
      <c r="BK9" s="62" t="s">
        <v>74</v>
      </c>
      <c r="BL9" s="44">
        <v>24</v>
      </c>
      <c r="BM9" s="34">
        <v>16</v>
      </c>
      <c r="BN9" s="34">
        <v>25</v>
      </c>
      <c r="BO9" s="34">
        <v>0</v>
      </c>
      <c r="BP9" s="34">
        <v>140</v>
      </c>
      <c r="BQ9" s="34">
        <v>100</v>
      </c>
    </row>
    <row r="10" spans="1:69">
      <c r="A10" s="50" t="s">
        <v>59</v>
      </c>
      <c r="B10" s="51" t="s">
        <v>0</v>
      </c>
      <c r="C10" s="52" t="s">
        <v>63</v>
      </c>
      <c r="D10" s="52" t="s">
        <v>97</v>
      </c>
      <c r="E10" s="52" t="s">
        <v>97</v>
      </c>
      <c r="G10" s="57" t="s">
        <v>59</v>
      </c>
      <c r="H10" s="44">
        <v>24</v>
      </c>
      <c r="I10" s="34">
        <v>16</v>
      </c>
      <c r="J10" s="34">
        <v>0</v>
      </c>
      <c r="K10" s="34">
        <v>0</v>
      </c>
      <c r="L10" s="34">
        <v>140</v>
      </c>
      <c r="M10" s="34">
        <v>100</v>
      </c>
      <c r="O10" s="62" t="s">
        <v>59</v>
      </c>
      <c r="P10" s="44">
        <v>24</v>
      </c>
      <c r="Q10" s="34">
        <v>16</v>
      </c>
      <c r="R10" s="34">
        <v>0</v>
      </c>
      <c r="S10" s="34">
        <v>0</v>
      </c>
      <c r="T10" s="34">
        <v>140</v>
      </c>
      <c r="U10" s="34">
        <v>100</v>
      </c>
      <c r="W10" s="57" t="s">
        <v>59</v>
      </c>
      <c r="X10" s="44">
        <v>24</v>
      </c>
      <c r="Y10" s="34">
        <v>16</v>
      </c>
      <c r="Z10" s="34">
        <v>0</v>
      </c>
      <c r="AA10" s="34">
        <v>0</v>
      </c>
      <c r="AB10" s="34">
        <v>140</v>
      </c>
      <c r="AC10" s="34">
        <v>100</v>
      </c>
      <c r="AE10" s="62" t="s">
        <v>59</v>
      </c>
      <c r="AF10" s="44">
        <v>24</v>
      </c>
      <c r="AG10" s="34">
        <v>16</v>
      </c>
      <c r="AH10" s="34">
        <v>0</v>
      </c>
      <c r="AI10" s="34">
        <v>0</v>
      </c>
      <c r="AJ10" s="34">
        <v>140</v>
      </c>
      <c r="AK10" s="34">
        <v>100</v>
      </c>
      <c r="AM10" s="57" t="s">
        <v>59</v>
      </c>
      <c r="AN10" s="44">
        <v>24</v>
      </c>
      <c r="AO10" s="34">
        <v>16</v>
      </c>
      <c r="AP10" s="34">
        <v>0</v>
      </c>
      <c r="AQ10" s="34">
        <v>0</v>
      </c>
      <c r="AR10" s="34">
        <v>140</v>
      </c>
      <c r="AS10" s="34">
        <v>100</v>
      </c>
      <c r="AU10" s="62" t="s">
        <v>59</v>
      </c>
      <c r="AV10" s="44">
        <v>24</v>
      </c>
      <c r="AW10" s="34">
        <v>16</v>
      </c>
      <c r="AX10" s="34">
        <v>0</v>
      </c>
      <c r="AY10" s="34">
        <v>0</v>
      </c>
      <c r="AZ10" s="34">
        <v>140</v>
      </c>
      <c r="BA10" s="34">
        <v>100</v>
      </c>
      <c r="BC10" s="57" t="s">
        <v>59</v>
      </c>
      <c r="BD10" s="44">
        <v>24</v>
      </c>
      <c r="BE10" s="34">
        <v>16</v>
      </c>
      <c r="BF10" s="34">
        <v>0</v>
      </c>
      <c r="BG10" s="34">
        <v>0</v>
      </c>
      <c r="BH10" s="34">
        <v>140</v>
      </c>
      <c r="BI10" s="34">
        <v>100</v>
      </c>
      <c r="BK10" s="62" t="s">
        <v>59</v>
      </c>
      <c r="BL10" s="44">
        <v>24</v>
      </c>
      <c r="BM10" s="34">
        <v>16</v>
      </c>
      <c r="BN10" s="34">
        <v>0</v>
      </c>
      <c r="BO10" s="34">
        <v>0</v>
      </c>
      <c r="BP10" s="34">
        <v>140</v>
      </c>
      <c r="BQ10" s="34">
        <v>100</v>
      </c>
    </row>
    <row r="11" spans="1:69">
      <c r="A11" s="50" t="s">
        <v>4</v>
      </c>
      <c r="B11" s="51" t="s">
        <v>0</v>
      </c>
      <c r="C11" s="52" t="s">
        <v>63</v>
      </c>
      <c r="D11" s="52" t="s">
        <v>64</v>
      </c>
      <c r="E11" s="52" t="s">
        <v>97</v>
      </c>
      <c r="G11" s="57" t="s">
        <v>4</v>
      </c>
      <c r="H11" s="44">
        <v>24</v>
      </c>
      <c r="I11" s="34">
        <v>16</v>
      </c>
      <c r="J11" s="34">
        <v>12</v>
      </c>
      <c r="K11" s="34">
        <v>0</v>
      </c>
      <c r="L11" s="34">
        <v>140</v>
      </c>
      <c r="M11" s="34">
        <v>100</v>
      </c>
      <c r="O11" s="62" t="s">
        <v>4</v>
      </c>
      <c r="P11" s="44">
        <v>24</v>
      </c>
      <c r="Q11" s="34">
        <v>16</v>
      </c>
      <c r="R11" s="34">
        <v>12</v>
      </c>
      <c r="S11" s="34">
        <v>0</v>
      </c>
      <c r="T11" s="34">
        <v>140</v>
      </c>
      <c r="U11" s="34">
        <v>100</v>
      </c>
      <c r="W11" s="57" t="s">
        <v>4</v>
      </c>
      <c r="X11" s="44">
        <v>24</v>
      </c>
      <c r="Y11" s="34">
        <v>16</v>
      </c>
      <c r="Z11" s="34">
        <v>12</v>
      </c>
      <c r="AA11" s="34">
        <v>0</v>
      </c>
      <c r="AB11" s="34">
        <v>140</v>
      </c>
      <c r="AC11" s="34">
        <v>100</v>
      </c>
      <c r="AE11" s="62" t="s">
        <v>4</v>
      </c>
      <c r="AF11" s="44">
        <v>24</v>
      </c>
      <c r="AG11" s="34">
        <v>16</v>
      </c>
      <c r="AH11" s="34">
        <v>12</v>
      </c>
      <c r="AI11" s="34">
        <v>0</v>
      </c>
      <c r="AJ11" s="34">
        <v>140</v>
      </c>
      <c r="AK11" s="34">
        <v>100</v>
      </c>
      <c r="AM11" s="57" t="s">
        <v>4</v>
      </c>
      <c r="AN11" s="44">
        <v>24</v>
      </c>
      <c r="AO11" s="34">
        <v>16</v>
      </c>
      <c r="AP11" s="34">
        <v>12</v>
      </c>
      <c r="AQ11" s="34">
        <v>0</v>
      </c>
      <c r="AR11" s="34">
        <v>140</v>
      </c>
      <c r="AS11" s="34">
        <v>100</v>
      </c>
      <c r="AU11" s="62" t="s">
        <v>4</v>
      </c>
      <c r="AV11" s="44">
        <v>24</v>
      </c>
      <c r="AW11" s="34">
        <v>16</v>
      </c>
      <c r="AX11" s="34">
        <v>12</v>
      </c>
      <c r="AY11" s="34">
        <v>0</v>
      </c>
      <c r="AZ11" s="34">
        <v>140</v>
      </c>
      <c r="BA11" s="34">
        <v>100</v>
      </c>
      <c r="BC11" s="57" t="s">
        <v>4</v>
      </c>
      <c r="BD11" s="44">
        <v>24</v>
      </c>
      <c r="BE11" s="34">
        <v>16</v>
      </c>
      <c r="BF11" s="34">
        <v>12</v>
      </c>
      <c r="BG11" s="34">
        <v>0</v>
      </c>
      <c r="BH11" s="34">
        <v>140</v>
      </c>
      <c r="BI11" s="34">
        <v>100</v>
      </c>
      <c r="BK11" s="62" t="s">
        <v>4</v>
      </c>
      <c r="BL11" s="44">
        <v>24</v>
      </c>
      <c r="BM11" s="34">
        <v>16</v>
      </c>
      <c r="BN11" s="34">
        <v>12</v>
      </c>
      <c r="BO11" s="34">
        <v>0</v>
      </c>
      <c r="BP11" s="34">
        <v>140</v>
      </c>
      <c r="BQ11" s="34">
        <v>100</v>
      </c>
    </row>
    <row r="12" spans="1:69">
      <c r="A12" s="50" t="s">
        <v>66</v>
      </c>
      <c r="B12" s="51" t="s">
        <v>0</v>
      </c>
      <c r="C12" s="52" t="s">
        <v>97</v>
      </c>
      <c r="D12" s="52" t="s">
        <v>97</v>
      </c>
      <c r="E12" s="52" t="s">
        <v>97</v>
      </c>
      <c r="G12" s="57" t="s">
        <v>66</v>
      </c>
      <c r="H12" s="44">
        <v>26</v>
      </c>
      <c r="I12" s="34">
        <v>0</v>
      </c>
      <c r="J12" s="34">
        <v>0</v>
      </c>
      <c r="K12" s="34">
        <v>0</v>
      </c>
      <c r="L12" s="34">
        <v>140</v>
      </c>
      <c r="M12" s="34">
        <v>100</v>
      </c>
      <c r="O12" s="62" t="s">
        <v>66</v>
      </c>
      <c r="P12" s="44">
        <v>26</v>
      </c>
      <c r="Q12" s="34">
        <v>0</v>
      </c>
      <c r="R12" s="34">
        <v>0</v>
      </c>
      <c r="S12" s="34">
        <v>0</v>
      </c>
      <c r="T12" s="34">
        <v>140</v>
      </c>
      <c r="U12" s="34">
        <v>100</v>
      </c>
      <c r="W12" s="57" t="s">
        <v>66</v>
      </c>
      <c r="X12" s="44">
        <v>26</v>
      </c>
      <c r="Y12" s="34">
        <v>0</v>
      </c>
      <c r="Z12" s="34">
        <v>0</v>
      </c>
      <c r="AA12" s="34">
        <v>0</v>
      </c>
      <c r="AB12" s="34">
        <v>140</v>
      </c>
      <c r="AC12" s="34">
        <v>100</v>
      </c>
      <c r="AE12" s="62" t="s">
        <v>66</v>
      </c>
      <c r="AF12" s="44">
        <v>26</v>
      </c>
      <c r="AG12" s="34">
        <v>0</v>
      </c>
      <c r="AH12" s="34">
        <v>0</v>
      </c>
      <c r="AI12" s="34">
        <v>0</v>
      </c>
      <c r="AJ12" s="34">
        <v>140</v>
      </c>
      <c r="AK12" s="34">
        <v>100</v>
      </c>
      <c r="AM12" s="57" t="s">
        <v>66</v>
      </c>
      <c r="AN12" s="44">
        <v>26</v>
      </c>
      <c r="AO12" s="34">
        <v>0</v>
      </c>
      <c r="AP12" s="34">
        <v>0</v>
      </c>
      <c r="AQ12" s="34">
        <v>0</v>
      </c>
      <c r="AR12" s="34">
        <v>140</v>
      </c>
      <c r="AS12" s="34">
        <v>100</v>
      </c>
      <c r="AU12" s="62" t="s">
        <v>66</v>
      </c>
      <c r="AV12" s="44">
        <v>26</v>
      </c>
      <c r="AW12" s="34">
        <v>0</v>
      </c>
      <c r="AX12" s="34">
        <v>0</v>
      </c>
      <c r="AY12" s="34">
        <v>0</v>
      </c>
      <c r="AZ12" s="34">
        <v>140</v>
      </c>
      <c r="BA12" s="34">
        <v>100</v>
      </c>
      <c r="BC12" s="57" t="s">
        <v>66</v>
      </c>
      <c r="BD12" s="44">
        <v>26</v>
      </c>
      <c r="BE12" s="34">
        <v>0</v>
      </c>
      <c r="BF12" s="34">
        <v>0</v>
      </c>
      <c r="BG12" s="34">
        <v>0</v>
      </c>
      <c r="BH12" s="34">
        <v>140</v>
      </c>
      <c r="BI12" s="34">
        <v>100</v>
      </c>
      <c r="BK12" s="62" t="s">
        <v>66</v>
      </c>
      <c r="BL12" s="44">
        <v>26</v>
      </c>
      <c r="BM12" s="34">
        <v>0</v>
      </c>
      <c r="BN12" s="34">
        <v>0</v>
      </c>
      <c r="BO12" s="34">
        <v>0</v>
      </c>
      <c r="BP12" s="34">
        <v>140</v>
      </c>
      <c r="BQ12" s="34">
        <v>100</v>
      </c>
    </row>
    <row r="13" spans="1:69">
      <c r="A13" s="50" t="s">
        <v>21</v>
      </c>
      <c r="B13" s="51" t="s">
        <v>0</v>
      </c>
      <c r="C13" s="52" t="s">
        <v>63</v>
      </c>
      <c r="D13" s="52" t="s">
        <v>65</v>
      </c>
      <c r="E13" s="52" t="s">
        <v>97</v>
      </c>
      <c r="G13" s="57" t="s">
        <v>21</v>
      </c>
      <c r="H13" s="44">
        <v>11</v>
      </c>
      <c r="I13" s="34">
        <v>11</v>
      </c>
      <c r="J13" s="34">
        <v>11</v>
      </c>
      <c r="K13" s="34">
        <v>0</v>
      </c>
      <c r="L13" s="34">
        <v>140</v>
      </c>
      <c r="M13" s="34">
        <v>100</v>
      </c>
      <c r="O13" s="62" t="s">
        <v>21</v>
      </c>
      <c r="P13" s="44">
        <v>11</v>
      </c>
      <c r="Q13" s="34">
        <v>11</v>
      </c>
      <c r="R13" s="34">
        <v>11</v>
      </c>
      <c r="S13" s="34">
        <v>0</v>
      </c>
      <c r="T13" s="34">
        <v>140</v>
      </c>
      <c r="U13" s="34">
        <v>100</v>
      </c>
      <c r="W13" s="57" t="s">
        <v>21</v>
      </c>
      <c r="X13" s="44">
        <v>11</v>
      </c>
      <c r="Y13" s="34">
        <v>11</v>
      </c>
      <c r="Z13" s="34">
        <v>11</v>
      </c>
      <c r="AA13" s="34">
        <v>0</v>
      </c>
      <c r="AB13" s="34">
        <v>140</v>
      </c>
      <c r="AC13" s="34">
        <v>100</v>
      </c>
      <c r="AE13" s="62" t="s">
        <v>21</v>
      </c>
      <c r="AF13" s="44">
        <v>11</v>
      </c>
      <c r="AG13" s="34">
        <v>11</v>
      </c>
      <c r="AH13" s="34">
        <v>11</v>
      </c>
      <c r="AI13" s="34">
        <v>0</v>
      </c>
      <c r="AJ13" s="34">
        <v>140</v>
      </c>
      <c r="AK13" s="34">
        <v>100</v>
      </c>
      <c r="AM13" s="57" t="s">
        <v>21</v>
      </c>
      <c r="AN13" s="44">
        <v>11</v>
      </c>
      <c r="AO13" s="34">
        <v>11</v>
      </c>
      <c r="AP13" s="34">
        <v>11</v>
      </c>
      <c r="AQ13" s="34">
        <v>0</v>
      </c>
      <c r="AR13" s="34">
        <v>140</v>
      </c>
      <c r="AS13" s="34">
        <v>100</v>
      </c>
      <c r="AU13" s="62" t="s">
        <v>21</v>
      </c>
      <c r="AV13" s="44">
        <v>11</v>
      </c>
      <c r="AW13" s="34">
        <v>11</v>
      </c>
      <c r="AX13" s="34">
        <v>11</v>
      </c>
      <c r="AY13" s="34">
        <v>0</v>
      </c>
      <c r="AZ13" s="34">
        <v>140</v>
      </c>
      <c r="BA13" s="34">
        <v>100</v>
      </c>
      <c r="BC13" s="57" t="s">
        <v>21</v>
      </c>
      <c r="BD13" s="44">
        <v>11</v>
      </c>
      <c r="BE13" s="34">
        <v>11</v>
      </c>
      <c r="BF13" s="34">
        <v>11</v>
      </c>
      <c r="BG13" s="34">
        <v>0</v>
      </c>
      <c r="BH13" s="34">
        <v>140</v>
      </c>
      <c r="BI13" s="34">
        <v>100</v>
      </c>
      <c r="BK13" s="62" t="s">
        <v>21</v>
      </c>
      <c r="BL13" s="44">
        <v>11</v>
      </c>
      <c r="BM13" s="34">
        <v>11</v>
      </c>
      <c r="BN13" s="34">
        <v>11</v>
      </c>
      <c r="BO13" s="34">
        <v>0</v>
      </c>
      <c r="BP13" s="34">
        <v>140</v>
      </c>
      <c r="BQ13" s="34">
        <v>100</v>
      </c>
    </row>
    <row r="14" spans="1:69">
      <c r="A14" s="50" t="s">
        <v>26</v>
      </c>
      <c r="B14" s="51" t="s">
        <v>63</v>
      </c>
      <c r="C14" s="52" t="s">
        <v>97</v>
      </c>
      <c r="D14" s="52" t="s">
        <v>97</v>
      </c>
      <c r="E14" s="52" t="s">
        <v>97</v>
      </c>
      <c r="G14" s="57" t="s">
        <v>26</v>
      </c>
      <c r="H14" s="44">
        <v>31</v>
      </c>
      <c r="I14" s="34">
        <v>0</v>
      </c>
      <c r="J14" s="34">
        <v>0</v>
      </c>
      <c r="K14" s="34">
        <v>0</v>
      </c>
      <c r="L14" s="34">
        <v>120</v>
      </c>
      <c r="M14" s="34">
        <v>100</v>
      </c>
      <c r="O14" s="62" t="s">
        <v>26</v>
      </c>
      <c r="P14" s="44">
        <v>31</v>
      </c>
      <c r="Q14" s="34">
        <v>0</v>
      </c>
      <c r="R14" s="34">
        <v>0</v>
      </c>
      <c r="S14" s="34">
        <v>0</v>
      </c>
      <c r="T14" s="34">
        <v>120</v>
      </c>
      <c r="U14" s="34">
        <v>100</v>
      </c>
      <c r="W14" s="57" t="s">
        <v>26</v>
      </c>
      <c r="X14" s="44">
        <v>31</v>
      </c>
      <c r="Y14" s="34">
        <v>0</v>
      </c>
      <c r="Z14" s="34">
        <v>0</v>
      </c>
      <c r="AA14" s="34">
        <v>0</v>
      </c>
      <c r="AB14" s="34">
        <v>120</v>
      </c>
      <c r="AC14" s="34">
        <v>100</v>
      </c>
      <c r="AE14" s="62" t="s">
        <v>26</v>
      </c>
      <c r="AF14" s="44">
        <v>31</v>
      </c>
      <c r="AG14" s="34">
        <v>0</v>
      </c>
      <c r="AH14" s="34">
        <v>0</v>
      </c>
      <c r="AI14" s="34">
        <v>0</v>
      </c>
      <c r="AJ14" s="34">
        <v>120</v>
      </c>
      <c r="AK14" s="34">
        <v>100</v>
      </c>
      <c r="AM14" s="57" t="s">
        <v>26</v>
      </c>
      <c r="AN14" s="44">
        <v>31</v>
      </c>
      <c r="AO14" s="34">
        <v>0</v>
      </c>
      <c r="AP14" s="34">
        <v>0</v>
      </c>
      <c r="AQ14" s="34">
        <v>0</v>
      </c>
      <c r="AR14" s="34">
        <v>120</v>
      </c>
      <c r="AS14" s="34">
        <v>100</v>
      </c>
      <c r="AU14" s="62" t="s">
        <v>26</v>
      </c>
      <c r="AV14" s="44">
        <v>31</v>
      </c>
      <c r="AW14" s="34">
        <v>0</v>
      </c>
      <c r="AX14" s="34">
        <v>0</v>
      </c>
      <c r="AY14" s="34">
        <v>0</v>
      </c>
      <c r="AZ14" s="34">
        <v>120</v>
      </c>
      <c r="BA14" s="34">
        <v>100</v>
      </c>
      <c r="BC14" s="57" t="s">
        <v>26</v>
      </c>
      <c r="BD14" s="44">
        <v>31</v>
      </c>
      <c r="BE14" s="34">
        <v>0</v>
      </c>
      <c r="BF14" s="34">
        <v>0</v>
      </c>
      <c r="BG14" s="34">
        <v>0</v>
      </c>
      <c r="BH14" s="34">
        <v>120</v>
      </c>
      <c r="BI14" s="34">
        <v>100</v>
      </c>
      <c r="BK14" s="62" t="s">
        <v>26</v>
      </c>
      <c r="BL14" s="44">
        <v>31</v>
      </c>
      <c r="BM14" s="34">
        <v>0</v>
      </c>
      <c r="BN14" s="34">
        <v>0</v>
      </c>
      <c r="BO14" s="34">
        <v>0</v>
      </c>
      <c r="BP14" s="34">
        <v>120</v>
      </c>
      <c r="BQ14" s="34">
        <v>100</v>
      </c>
    </row>
    <row r="15" spans="1:69">
      <c r="A15" s="50" t="s">
        <v>72</v>
      </c>
      <c r="B15" s="51" t="s">
        <v>0</v>
      </c>
      <c r="C15" s="52" t="s">
        <v>63</v>
      </c>
      <c r="D15" s="52" t="s">
        <v>85</v>
      </c>
      <c r="E15" s="52" t="s">
        <v>97</v>
      </c>
      <c r="G15" s="57" t="s">
        <v>72</v>
      </c>
      <c r="H15" s="44">
        <v>24</v>
      </c>
      <c r="I15" s="34">
        <v>16</v>
      </c>
      <c r="J15" s="34">
        <v>25</v>
      </c>
      <c r="K15" s="34">
        <v>0</v>
      </c>
      <c r="L15" s="34">
        <v>140</v>
      </c>
      <c r="M15" s="34">
        <v>100</v>
      </c>
      <c r="O15" s="62" t="s">
        <v>72</v>
      </c>
      <c r="P15" s="44">
        <v>24</v>
      </c>
      <c r="Q15" s="34">
        <v>16</v>
      </c>
      <c r="R15" s="34">
        <v>25</v>
      </c>
      <c r="S15" s="34">
        <v>0</v>
      </c>
      <c r="T15" s="34">
        <v>140</v>
      </c>
      <c r="U15" s="34">
        <v>100</v>
      </c>
      <c r="W15" s="57" t="s">
        <v>72</v>
      </c>
      <c r="X15" s="44">
        <v>24</v>
      </c>
      <c r="Y15" s="34">
        <v>16</v>
      </c>
      <c r="Z15" s="34">
        <v>25</v>
      </c>
      <c r="AA15" s="34">
        <v>0</v>
      </c>
      <c r="AB15" s="34">
        <v>140</v>
      </c>
      <c r="AC15" s="34">
        <v>100</v>
      </c>
      <c r="AE15" s="62" t="s">
        <v>72</v>
      </c>
      <c r="AF15" s="44">
        <v>24</v>
      </c>
      <c r="AG15" s="34">
        <v>16</v>
      </c>
      <c r="AH15" s="34">
        <v>25</v>
      </c>
      <c r="AI15" s="34">
        <v>0</v>
      </c>
      <c r="AJ15" s="34">
        <v>140</v>
      </c>
      <c r="AK15" s="34">
        <v>100</v>
      </c>
      <c r="AM15" s="57" t="s">
        <v>72</v>
      </c>
      <c r="AN15" s="44">
        <v>24</v>
      </c>
      <c r="AO15" s="34">
        <v>16</v>
      </c>
      <c r="AP15" s="34">
        <v>25</v>
      </c>
      <c r="AQ15" s="34">
        <v>0</v>
      </c>
      <c r="AR15" s="34">
        <v>140</v>
      </c>
      <c r="AS15" s="34">
        <v>100</v>
      </c>
      <c r="AU15" s="62" t="s">
        <v>72</v>
      </c>
      <c r="AV15" s="44">
        <v>24</v>
      </c>
      <c r="AW15" s="34">
        <v>16</v>
      </c>
      <c r="AX15" s="34">
        <v>25</v>
      </c>
      <c r="AY15" s="34">
        <v>0</v>
      </c>
      <c r="AZ15" s="34">
        <v>140</v>
      </c>
      <c r="BA15" s="34">
        <v>100</v>
      </c>
      <c r="BC15" s="57" t="s">
        <v>72</v>
      </c>
      <c r="BD15" s="44">
        <v>24</v>
      </c>
      <c r="BE15" s="34">
        <v>16</v>
      </c>
      <c r="BF15" s="34">
        <v>25</v>
      </c>
      <c r="BG15" s="34">
        <v>0</v>
      </c>
      <c r="BH15" s="34">
        <v>140</v>
      </c>
      <c r="BI15" s="34">
        <v>100</v>
      </c>
      <c r="BK15" s="62" t="s">
        <v>72</v>
      </c>
      <c r="BL15" s="44">
        <v>24</v>
      </c>
      <c r="BM15" s="34">
        <v>16</v>
      </c>
      <c r="BN15" s="34">
        <v>25</v>
      </c>
      <c r="BO15" s="34">
        <v>0</v>
      </c>
      <c r="BP15" s="34">
        <v>140</v>
      </c>
      <c r="BQ15" s="34">
        <v>100</v>
      </c>
    </row>
    <row r="16" spans="1:69">
      <c r="A16" s="50" t="s">
        <v>68</v>
      </c>
      <c r="B16" s="51" t="s">
        <v>0</v>
      </c>
      <c r="C16" s="52" t="s">
        <v>97</v>
      </c>
      <c r="D16" s="52" t="s">
        <v>97</v>
      </c>
      <c r="E16" s="52" t="s">
        <v>97</v>
      </c>
      <c r="G16" s="57" t="s">
        <v>68</v>
      </c>
      <c r="H16" s="44">
        <v>4.0999999999999996</v>
      </c>
      <c r="I16" s="34">
        <v>0</v>
      </c>
      <c r="J16" s="34">
        <v>0</v>
      </c>
      <c r="K16" s="34">
        <v>0</v>
      </c>
      <c r="L16" s="34">
        <v>100</v>
      </c>
      <c r="M16" s="34">
        <v>100</v>
      </c>
      <c r="O16" s="62" t="s">
        <v>68</v>
      </c>
      <c r="P16" s="44">
        <v>4.0999999999999996</v>
      </c>
      <c r="Q16" s="34">
        <v>0</v>
      </c>
      <c r="R16" s="34">
        <v>0</v>
      </c>
      <c r="S16" s="34">
        <v>0</v>
      </c>
      <c r="T16" s="34">
        <v>100</v>
      </c>
      <c r="U16" s="34">
        <v>100</v>
      </c>
      <c r="W16" s="57" t="s">
        <v>68</v>
      </c>
      <c r="X16" s="44">
        <v>4.0999999999999996</v>
      </c>
      <c r="Y16" s="34">
        <v>0</v>
      </c>
      <c r="Z16" s="34">
        <v>0</v>
      </c>
      <c r="AA16" s="34">
        <v>0</v>
      </c>
      <c r="AB16" s="34">
        <v>100</v>
      </c>
      <c r="AC16" s="34">
        <v>100</v>
      </c>
      <c r="AE16" s="62" t="s">
        <v>68</v>
      </c>
      <c r="AF16" s="44">
        <v>4.0999999999999996</v>
      </c>
      <c r="AG16" s="34">
        <v>0</v>
      </c>
      <c r="AH16" s="34">
        <v>0</v>
      </c>
      <c r="AI16" s="34">
        <v>0</v>
      </c>
      <c r="AJ16" s="34">
        <v>100</v>
      </c>
      <c r="AK16" s="34">
        <v>100</v>
      </c>
      <c r="AM16" s="57" t="s">
        <v>68</v>
      </c>
      <c r="AN16" s="44">
        <v>4.0999999999999996</v>
      </c>
      <c r="AO16" s="34">
        <v>0</v>
      </c>
      <c r="AP16" s="34">
        <v>0</v>
      </c>
      <c r="AQ16" s="34">
        <v>0</v>
      </c>
      <c r="AR16" s="34">
        <v>100</v>
      </c>
      <c r="AS16" s="34">
        <v>100</v>
      </c>
      <c r="AU16" s="62" t="s">
        <v>68</v>
      </c>
      <c r="AV16" s="44">
        <v>4.0999999999999996</v>
      </c>
      <c r="AW16" s="34">
        <v>0</v>
      </c>
      <c r="AX16" s="34">
        <v>0</v>
      </c>
      <c r="AY16" s="34">
        <v>0</v>
      </c>
      <c r="AZ16" s="34">
        <v>100</v>
      </c>
      <c r="BA16" s="34">
        <v>100</v>
      </c>
      <c r="BC16" s="57" t="s">
        <v>68</v>
      </c>
      <c r="BD16" s="44">
        <v>4.0999999999999996</v>
      </c>
      <c r="BE16" s="34">
        <v>0</v>
      </c>
      <c r="BF16" s="34">
        <v>0</v>
      </c>
      <c r="BG16" s="34">
        <v>0</v>
      </c>
      <c r="BH16" s="34">
        <v>100</v>
      </c>
      <c r="BI16" s="34">
        <v>100</v>
      </c>
      <c r="BK16" s="62" t="s">
        <v>68</v>
      </c>
      <c r="BL16" s="44">
        <v>4.0999999999999996</v>
      </c>
      <c r="BM16" s="34">
        <v>0</v>
      </c>
      <c r="BN16" s="34">
        <v>0</v>
      </c>
      <c r="BO16" s="34">
        <v>0</v>
      </c>
      <c r="BP16" s="34">
        <v>100</v>
      </c>
      <c r="BQ16" s="34">
        <v>100</v>
      </c>
    </row>
    <row r="17" spans="1:69">
      <c r="A17" s="50" t="s">
        <v>80</v>
      </c>
      <c r="B17" s="51" t="s">
        <v>0</v>
      </c>
      <c r="C17" s="52" t="s">
        <v>63</v>
      </c>
      <c r="D17" s="52" t="s">
        <v>97</v>
      </c>
      <c r="E17" s="52" t="s">
        <v>97</v>
      </c>
      <c r="G17" s="57" t="s">
        <v>80</v>
      </c>
      <c r="H17" s="44">
        <v>7</v>
      </c>
      <c r="I17" s="34">
        <v>8.5</v>
      </c>
      <c r="J17" s="34">
        <v>0</v>
      </c>
      <c r="K17" s="34">
        <v>0</v>
      </c>
      <c r="L17" s="34">
        <v>100</v>
      </c>
      <c r="M17" s="34">
        <v>100</v>
      </c>
      <c r="O17" s="62" t="s">
        <v>80</v>
      </c>
      <c r="P17" s="44">
        <v>7</v>
      </c>
      <c r="Q17" s="34">
        <v>8.5</v>
      </c>
      <c r="R17" s="34">
        <v>0</v>
      </c>
      <c r="S17" s="34">
        <v>0</v>
      </c>
      <c r="T17" s="34">
        <v>100</v>
      </c>
      <c r="U17" s="34">
        <v>100</v>
      </c>
      <c r="W17" s="57" t="s">
        <v>80</v>
      </c>
      <c r="X17" s="44">
        <v>7</v>
      </c>
      <c r="Y17" s="34">
        <v>8.5</v>
      </c>
      <c r="Z17" s="34">
        <v>0</v>
      </c>
      <c r="AA17" s="34">
        <v>0</v>
      </c>
      <c r="AB17" s="34">
        <v>100</v>
      </c>
      <c r="AC17" s="34">
        <v>100</v>
      </c>
      <c r="AE17" s="62" t="s">
        <v>80</v>
      </c>
      <c r="AF17" s="44">
        <v>7</v>
      </c>
      <c r="AG17" s="34">
        <v>8.5</v>
      </c>
      <c r="AH17" s="34">
        <v>0</v>
      </c>
      <c r="AI17" s="34">
        <v>0</v>
      </c>
      <c r="AJ17" s="34">
        <v>100</v>
      </c>
      <c r="AK17" s="34">
        <v>100</v>
      </c>
      <c r="AM17" s="57" t="s">
        <v>80</v>
      </c>
      <c r="AN17" s="44">
        <v>7</v>
      </c>
      <c r="AO17" s="34">
        <v>8.5</v>
      </c>
      <c r="AP17" s="34">
        <v>0</v>
      </c>
      <c r="AQ17" s="34">
        <v>0</v>
      </c>
      <c r="AR17" s="34">
        <v>100</v>
      </c>
      <c r="AS17" s="34">
        <v>100</v>
      </c>
      <c r="AU17" s="62" t="s">
        <v>80</v>
      </c>
      <c r="AV17" s="44">
        <v>7</v>
      </c>
      <c r="AW17" s="34">
        <v>8.5</v>
      </c>
      <c r="AX17" s="34">
        <v>0</v>
      </c>
      <c r="AY17" s="34">
        <v>0</v>
      </c>
      <c r="AZ17" s="34">
        <v>100</v>
      </c>
      <c r="BA17" s="34">
        <v>100</v>
      </c>
      <c r="BC17" s="57" t="s">
        <v>80</v>
      </c>
      <c r="BD17" s="44">
        <v>7</v>
      </c>
      <c r="BE17" s="34">
        <v>8.5</v>
      </c>
      <c r="BF17" s="34">
        <v>0</v>
      </c>
      <c r="BG17" s="34">
        <v>0</v>
      </c>
      <c r="BH17" s="34">
        <v>100</v>
      </c>
      <c r="BI17" s="34">
        <v>100</v>
      </c>
      <c r="BK17" s="62" t="s">
        <v>80</v>
      </c>
      <c r="BL17" s="44">
        <v>7</v>
      </c>
      <c r="BM17" s="34">
        <v>8.5</v>
      </c>
      <c r="BN17" s="34">
        <v>0</v>
      </c>
      <c r="BO17" s="34">
        <v>0</v>
      </c>
      <c r="BP17" s="34">
        <v>100</v>
      </c>
      <c r="BQ17" s="34">
        <v>100</v>
      </c>
    </row>
    <row r="18" spans="1:69">
      <c r="A18" s="50" t="s">
        <v>75</v>
      </c>
      <c r="B18" s="51" t="s">
        <v>0</v>
      </c>
      <c r="C18" s="52" t="s">
        <v>63</v>
      </c>
      <c r="D18" s="52" t="s">
        <v>97</v>
      </c>
      <c r="E18" s="52" t="s">
        <v>97</v>
      </c>
      <c r="G18" s="57" t="s">
        <v>75</v>
      </c>
      <c r="H18" s="44">
        <v>26</v>
      </c>
      <c r="I18" s="34">
        <v>34.5</v>
      </c>
      <c r="J18" s="34">
        <v>0</v>
      </c>
      <c r="K18" s="34">
        <v>0</v>
      </c>
      <c r="L18" s="34">
        <v>180</v>
      </c>
      <c r="M18" s="34">
        <v>100</v>
      </c>
      <c r="O18" s="62" t="s">
        <v>75</v>
      </c>
      <c r="P18" s="44">
        <v>26</v>
      </c>
      <c r="Q18" s="34">
        <v>34.5</v>
      </c>
      <c r="R18" s="34">
        <v>0</v>
      </c>
      <c r="S18" s="34">
        <v>0</v>
      </c>
      <c r="T18" s="34">
        <v>180</v>
      </c>
      <c r="U18" s="34">
        <v>100</v>
      </c>
      <c r="W18" s="57" t="s">
        <v>75</v>
      </c>
      <c r="X18" s="44">
        <v>26</v>
      </c>
      <c r="Y18" s="34">
        <v>34.5</v>
      </c>
      <c r="Z18" s="34">
        <v>0</v>
      </c>
      <c r="AA18" s="34">
        <v>0</v>
      </c>
      <c r="AB18" s="34">
        <v>180</v>
      </c>
      <c r="AC18" s="34">
        <v>100</v>
      </c>
      <c r="AE18" s="62" t="s">
        <v>75</v>
      </c>
      <c r="AF18" s="44">
        <v>26</v>
      </c>
      <c r="AG18" s="34">
        <v>34.5</v>
      </c>
      <c r="AH18" s="34">
        <v>0</v>
      </c>
      <c r="AI18" s="34">
        <v>0</v>
      </c>
      <c r="AJ18" s="34">
        <v>180</v>
      </c>
      <c r="AK18" s="34">
        <v>100</v>
      </c>
      <c r="AM18" s="57" t="s">
        <v>75</v>
      </c>
      <c r="AN18" s="44">
        <v>26</v>
      </c>
      <c r="AO18" s="34">
        <v>34.5</v>
      </c>
      <c r="AP18" s="34">
        <v>0</v>
      </c>
      <c r="AQ18" s="34">
        <v>0</v>
      </c>
      <c r="AR18" s="34">
        <v>180</v>
      </c>
      <c r="AS18" s="34">
        <v>100</v>
      </c>
      <c r="AU18" s="62" t="s">
        <v>75</v>
      </c>
      <c r="AV18" s="44">
        <v>26</v>
      </c>
      <c r="AW18" s="34">
        <v>34.5</v>
      </c>
      <c r="AX18" s="34">
        <v>0</v>
      </c>
      <c r="AY18" s="34">
        <v>0</v>
      </c>
      <c r="AZ18" s="34">
        <v>180</v>
      </c>
      <c r="BA18" s="34">
        <v>100</v>
      </c>
      <c r="BC18" s="57" t="s">
        <v>75</v>
      </c>
      <c r="BD18" s="44">
        <v>26</v>
      </c>
      <c r="BE18" s="34">
        <v>34.5</v>
      </c>
      <c r="BF18" s="34">
        <v>0</v>
      </c>
      <c r="BG18" s="34">
        <v>0</v>
      </c>
      <c r="BH18" s="34">
        <v>180</v>
      </c>
      <c r="BI18" s="34">
        <v>100</v>
      </c>
      <c r="BK18" s="62" t="s">
        <v>75</v>
      </c>
      <c r="BL18" s="44">
        <v>26</v>
      </c>
      <c r="BM18" s="34">
        <v>34.5</v>
      </c>
      <c r="BN18" s="34">
        <v>0</v>
      </c>
      <c r="BO18" s="34">
        <v>0</v>
      </c>
      <c r="BP18" s="34">
        <v>180</v>
      </c>
      <c r="BQ18" s="34">
        <v>100</v>
      </c>
    </row>
    <row r="19" spans="1:69">
      <c r="A19" s="50" t="s">
        <v>67</v>
      </c>
      <c r="B19" s="51" t="s">
        <v>0</v>
      </c>
      <c r="C19" s="52" t="s">
        <v>97</v>
      </c>
      <c r="D19" s="52" t="s">
        <v>97</v>
      </c>
      <c r="E19" s="52" t="s">
        <v>97</v>
      </c>
      <c r="G19" s="57" t="s">
        <v>67</v>
      </c>
      <c r="H19" s="44">
        <v>26</v>
      </c>
      <c r="I19" s="34">
        <v>0</v>
      </c>
      <c r="J19" s="34">
        <v>0</v>
      </c>
      <c r="K19" s="34">
        <v>0</v>
      </c>
      <c r="L19" s="34">
        <v>120</v>
      </c>
      <c r="M19" s="34">
        <v>100</v>
      </c>
      <c r="O19" s="62" t="s">
        <v>67</v>
      </c>
      <c r="P19" s="44">
        <v>26</v>
      </c>
      <c r="Q19" s="34">
        <v>0</v>
      </c>
      <c r="R19" s="34">
        <v>0</v>
      </c>
      <c r="S19" s="34">
        <v>0</v>
      </c>
      <c r="T19" s="34">
        <v>120</v>
      </c>
      <c r="U19" s="34">
        <v>100</v>
      </c>
      <c r="W19" s="57" t="s">
        <v>67</v>
      </c>
      <c r="X19" s="44">
        <v>26</v>
      </c>
      <c r="Y19" s="34">
        <v>0</v>
      </c>
      <c r="Z19" s="34">
        <v>0</v>
      </c>
      <c r="AA19" s="34">
        <v>0</v>
      </c>
      <c r="AB19" s="34">
        <v>120</v>
      </c>
      <c r="AC19" s="34">
        <v>100</v>
      </c>
      <c r="AE19" s="62" t="s">
        <v>67</v>
      </c>
      <c r="AF19" s="44">
        <v>26</v>
      </c>
      <c r="AG19" s="34">
        <v>0</v>
      </c>
      <c r="AH19" s="34">
        <v>0</v>
      </c>
      <c r="AI19" s="34">
        <v>0</v>
      </c>
      <c r="AJ19" s="34">
        <v>120</v>
      </c>
      <c r="AK19" s="34">
        <v>100</v>
      </c>
      <c r="AM19" s="57" t="s">
        <v>67</v>
      </c>
      <c r="AN19" s="44">
        <v>26</v>
      </c>
      <c r="AO19" s="34">
        <v>0</v>
      </c>
      <c r="AP19" s="34">
        <v>0</v>
      </c>
      <c r="AQ19" s="34">
        <v>0</v>
      </c>
      <c r="AR19" s="34">
        <v>120</v>
      </c>
      <c r="AS19" s="34">
        <v>100</v>
      </c>
      <c r="AU19" s="62" t="s">
        <v>67</v>
      </c>
      <c r="AV19" s="44">
        <v>26</v>
      </c>
      <c r="AW19" s="34">
        <v>0</v>
      </c>
      <c r="AX19" s="34">
        <v>0</v>
      </c>
      <c r="AY19" s="34">
        <v>0</v>
      </c>
      <c r="AZ19" s="34">
        <v>120</v>
      </c>
      <c r="BA19" s="34">
        <v>100</v>
      </c>
      <c r="BC19" s="57" t="s">
        <v>67</v>
      </c>
      <c r="BD19" s="44">
        <v>26</v>
      </c>
      <c r="BE19" s="34">
        <v>0</v>
      </c>
      <c r="BF19" s="34">
        <v>0</v>
      </c>
      <c r="BG19" s="34">
        <v>0</v>
      </c>
      <c r="BH19" s="34">
        <v>120</v>
      </c>
      <c r="BI19" s="34">
        <v>100</v>
      </c>
      <c r="BK19" s="62" t="s">
        <v>67</v>
      </c>
      <c r="BL19" s="44">
        <v>26</v>
      </c>
      <c r="BM19" s="34">
        <v>0</v>
      </c>
      <c r="BN19" s="34">
        <v>0</v>
      </c>
      <c r="BO19" s="34">
        <v>0</v>
      </c>
      <c r="BP19" s="34">
        <v>120</v>
      </c>
      <c r="BQ19" s="34">
        <v>100</v>
      </c>
    </row>
    <row r="20" spans="1:69">
      <c r="A20" s="50" t="s">
        <v>37</v>
      </c>
      <c r="B20" s="51" t="s">
        <v>0</v>
      </c>
      <c r="C20" s="52" t="s">
        <v>63</v>
      </c>
      <c r="D20" s="52" t="s">
        <v>97</v>
      </c>
      <c r="E20" s="52" t="s">
        <v>97</v>
      </c>
      <c r="G20" s="57" t="s">
        <v>37</v>
      </c>
      <c r="H20" s="44">
        <v>24</v>
      </c>
      <c r="I20" s="34">
        <v>31</v>
      </c>
      <c r="J20" s="34">
        <v>0</v>
      </c>
      <c r="K20" s="34">
        <v>0</v>
      </c>
      <c r="L20" s="34">
        <v>180</v>
      </c>
      <c r="M20" s="34">
        <v>100</v>
      </c>
      <c r="O20" s="62" t="s">
        <v>37</v>
      </c>
      <c r="P20" s="44">
        <v>24</v>
      </c>
      <c r="Q20" s="34">
        <v>31</v>
      </c>
      <c r="R20" s="34">
        <v>0</v>
      </c>
      <c r="S20" s="34">
        <v>0</v>
      </c>
      <c r="T20" s="34">
        <v>180</v>
      </c>
      <c r="U20" s="34">
        <v>100</v>
      </c>
      <c r="W20" s="57" t="s">
        <v>37</v>
      </c>
      <c r="X20" s="44">
        <v>24</v>
      </c>
      <c r="Y20" s="34">
        <v>31</v>
      </c>
      <c r="Z20" s="34">
        <v>0</v>
      </c>
      <c r="AA20" s="34">
        <v>0</v>
      </c>
      <c r="AB20" s="34">
        <v>180</v>
      </c>
      <c r="AC20" s="34">
        <v>100</v>
      </c>
      <c r="AE20" s="62" t="s">
        <v>37</v>
      </c>
      <c r="AF20" s="44">
        <v>24</v>
      </c>
      <c r="AG20" s="34">
        <v>31</v>
      </c>
      <c r="AH20" s="34">
        <v>0</v>
      </c>
      <c r="AI20" s="34">
        <v>0</v>
      </c>
      <c r="AJ20" s="34">
        <v>180</v>
      </c>
      <c r="AK20" s="34">
        <v>100</v>
      </c>
      <c r="AM20" s="57" t="s">
        <v>37</v>
      </c>
      <c r="AN20" s="44">
        <v>24</v>
      </c>
      <c r="AO20" s="34">
        <v>31</v>
      </c>
      <c r="AP20" s="34">
        <v>0</v>
      </c>
      <c r="AQ20" s="34">
        <v>0</v>
      </c>
      <c r="AR20" s="34">
        <v>180</v>
      </c>
      <c r="AS20" s="34">
        <v>100</v>
      </c>
      <c r="AU20" s="62" t="s">
        <v>37</v>
      </c>
      <c r="AV20" s="44">
        <v>24</v>
      </c>
      <c r="AW20" s="34">
        <v>31</v>
      </c>
      <c r="AX20" s="34">
        <v>0</v>
      </c>
      <c r="AY20" s="34">
        <v>0</v>
      </c>
      <c r="AZ20" s="34">
        <v>180</v>
      </c>
      <c r="BA20" s="34">
        <v>100</v>
      </c>
      <c r="BC20" s="57" t="s">
        <v>37</v>
      </c>
      <c r="BD20" s="44">
        <v>24</v>
      </c>
      <c r="BE20" s="34">
        <v>31</v>
      </c>
      <c r="BF20" s="34">
        <v>0</v>
      </c>
      <c r="BG20" s="34">
        <v>0</v>
      </c>
      <c r="BH20" s="34">
        <v>180</v>
      </c>
      <c r="BI20" s="34">
        <v>100</v>
      </c>
      <c r="BK20" s="62" t="s">
        <v>37</v>
      </c>
      <c r="BL20" s="44">
        <v>24</v>
      </c>
      <c r="BM20" s="34">
        <v>31</v>
      </c>
      <c r="BN20" s="34">
        <v>0</v>
      </c>
      <c r="BO20" s="34">
        <v>0</v>
      </c>
      <c r="BP20" s="34">
        <v>180</v>
      </c>
      <c r="BQ20" s="34">
        <v>100</v>
      </c>
    </row>
    <row r="21" spans="1:69">
      <c r="A21" s="50" t="s">
        <v>62</v>
      </c>
      <c r="B21" s="51" t="s">
        <v>0</v>
      </c>
      <c r="C21" s="52" t="s">
        <v>63</v>
      </c>
      <c r="D21" s="52" t="s">
        <v>97</v>
      </c>
      <c r="E21" s="52" t="s">
        <v>97</v>
      </c>
      <c r="G21" s="57" t="s">
        <v>62</v>
      </c>
      <c r="H21" s="44">
        <v>18.600000000000001</v>
      </c>
      <c r="I21" s="34">
        <v>16</v>
      </c>
      <c r="J21" s="34">
        <v>0</v>
      </c>
      <c r="K21" s="34">
        <v>0</v>
      </c>
      <c r="L21" s="34">
        <v>140</v>
      </c>
      <c r="M21" s="34">
        <v>100</v>
      </c>
      <c r="O21" s="62" t="s">
        <v>62</v>
      </c>
      <c r="P21" s="44">
        <v>18.600000000000001</v>
      </c>
      <c r="Q21" s="34">
        <v>16</v>
      </c>
      <c r="R21" s="34">
        <v>0</v>
      </c>
      <c r="S21" s="34">
        <v>0</v>
      </c>
      <c r="T21" s="34">
        <v>140</v>
      </c>
      <c r="U21" s="34">
        <v>100</v>
      </c>
      <c r="W21" s="57" t="s">
        <v>62</v>
      </c>
      <c r="X21" s="44">
        <v>18.600000000000001</v>
      </c>
      <c r="Y21" s="34">
        <v>16</v>
      </c>
      <c r="Z21" s="34">
        <v>0</v>
      </c>
      <c r="AA21" s="34">
        <v>0</v>
      </c>
      <c r="AB21" s="34">
        <v>140</v>
      </c>
      <c r="AC21" s="34">
        <v>100</v>
      </c>
      <c r="AE21" s="62" t="s">
        <v>62</v>
      </c>
      <c r="AF21" s="44">
        <v>18.600000000000001</v>
      </c>
      <c r="AG21" s="34">
        <v>16</v>
      </c>
      <c r="AH21" s="34">
        <v>0</v>
      </c>
      <c r="AI21" s="34">
        <v>0</v>
      </c>
      <c r="AJ21" s="34">
        <v>140</v>
      </c>
      <c r="AK21" s="34">
        <v>100</v>
      </c>
      <c r="AM21" s="57" t="s">
        <v>62</v>
      </c>
      <c r="AN21" s="44">
        <v>18.600000000000001</v>
      </c>
      <c r="AO21" s="34">
        <v>16</v>
      </c>
      <c r="AP21" s="34">
        <v>0</v>
      </c>
      <c r="AQ21" s="34">
        <v>0</v>
      </c>
      <c r="AR21" s="34">
        <v>140</v>
      </c>
      <c r="AS21" s="34">
        <v>100</v>
      </c>
      <c r="AU21" s="62" t="s">
        <v>62</v>
      </c>
      <c r="AV21" s="44">
        <v>18.600000000000001</v>
      </c>
      <c r="AW21" s="34">
        <v>16</v>
      </c>
      <c r="AX21" s="34">
        <v>0</v>
      </c>
      <c r="AY21" s="34">
        <v>0</v>
      </c>
      <c r="AZ21" s="34">
        <v>140</v>
      </c>
      <c r="BA21" s="34">
        <v>100</v>
      </c>
      <c r="BC21" s="57" t="s">
        <v>62</v>
      </c>
      <c r="BD21" s="44">
        <v>18.600000000000001</v>
      </c>
      <c r="BE21" s="34">
        <v>16</v>
      </c>
      <c r="BF21" s="34">
        <v>0</v>
      </c>
      <c r="BG21" s="34">
        <v>0</v>
      </c>
      <c r="BH21" s="34">
        <v>140</v>
      </c>
      <c r="BI21" s="34">
        <v>100</v>
      </c>
      <c r="BK21" s="62" t="s">
        <v>62</v>
      </c>
      <c r="BL21" s="44">
        <v>18.600000000000001</v>
      </c>
      <c r="BM21" s="34">
        <v>16</v>
      </c>
      <c r="BN21" s="34">
        <v>0</v>
      </c>
      <c r="BO21" s="34">
        <v>0</v>
      </c>
      <c r="BP21" s="34">
        <v>140</v>
      </c>
      <c r="BQ21" s="34">
        <v>100</v>
      </c>
    </row>
    <row r="22" spans="1:69">
      <c r="A22" s="50" t="s">
        <v>90</v>
      </c>
      <c r="B22" s="51" t="s">
        <v>0</v>
      </c>
      <c r="C22" s="52" t="s">
        <v>63</v>
      </c>
      <c r="D22" s="52" t="s">
        <v>97</v>
      </c>
      <c r="E22" s="52" t="s">
        <v>97</v>
      </c>
      <c r="G22" s="57" t="s">
        <v>90</v>
      </c>
      <c r="H22" s="44">
        <v>26</v>
      </c>
      <c r="I22" s="34">
        <v>34.5</v>
      </c>
      <c r="J22" s="34">
        <v>0</v>
      </c>
      <c r="K22" s="34">
        <v>0</v>
      </c>
      <c r="L22" s="34">
        <v>120</v>
      </c>
      <c r="M22" s="34">
        <v>100</v>
      </c>
      <c r="O22" s="62" t="s">
        <v>90</v>
      </c>
      <c r="P22" s="44">
        <v>26</v>
      </c>
      <c r="Q22" s="34">
        <v>34.5</v>
      </c>
      <c r="R22" s="34">
        <v>0</v>
      </c>
      <c r="S22" s="34">
        <v>0</v>
      </c>
      <c r="T22" s="34">
        <v>120</v>
      </c>
      <c r="U22" s="34">
        <v>100</v>
      </c>
      <c r="W22" s="57" t="s">
        <v>90</v>
      </c>
      <c r="X22" s="44">
        <v>26</v>
      </c>
      <c r="Y22" s="34">
        <v>34.5</v>
      </c>
      <c r="Z22" s="34">
        <v>0</v>
      </c>
      <c r="AA22" s="34">
        <v>0</v>
      </c>
      <c r="AB22" s="34">
        <v>120</v>
      </c>
      <c r="AC22" s="34">
        <v>100</v>
      </c>
      <c r="AE22" s="62" t="s">
        <v>90</v>
      </c>
      <c r="AF22" s="44">
        <v>26</v>
      </c>
      <c r="AG22" s="34">
        <v>34.5</v>
      </c>
      <c r="AH22" s="34">
        <v>0</v>
      </c>
      <c r="AI22" s="34">
        <v>0</v>
      </c>
      <c r="AJ22" s="34">
        <v>120</v>
      </c>
      <c r="AK22" s="34">
        <v>100</v>
      </c>
      <c r="AM22" s="57" t="s">
        <v>90</v>
      </c>
      <c r="AN22" s="44">
        <v>26</v>
      </c>
      <c r="AO22" s="34">
        <v>34.5</v>
      </c>
      <c r="AP22" s="34">
        <v>0</v>
      </c>
      <c r="AQ22" s="34">
        <v>0</v>
      </c>
      <c r="AR22" s="34">
        <v>120</v>
      </c>
      <c r="AS22" s="34">
        <v>100</v>
      </c>
      <c r="AU22" s="62" t="s">
        <v>90</v>
      </c>
      <c r="AV22" s="44">
        <v>26</v>
      </c>
      <c r="AW22" s="34">
        <v>34.5</v>
      </c>
      <c r="AX22" s="34">
        <v>0</v>
      </c>
      <c r="AY22" s="34">
        <v>0</v>
      </c>
      <c r="AZ22" s="34">
        <v>120</v>
      </c>
      <c r="BA22" s="34">
        <v>100</v>
      </c>
      <c r="BC22" s="57" t="s">
        <v>90</v>
      </c>
      <c r="BD22" s="44">
        <v>26</v>
      </c>
      <c r="BE22" s="34">
        <v>34.5</v>
      </c>
      <c r="BF22" s="34">
        <v>0</v>
      </c>
      <c r="BG22" s="34">
        <v>0</v>
      </c>
      <c r="BH22" s="34">
        <v>120</v>
      </c>
      <c r="BI22" s="34">
        <v>100</v>
      </c>
      <c r="BK22" s="62" t="s">
        <v>90</v>
      </c>
      <c r="BL22" s="44">
        <v>26</v>
      </c>
      <c r="BM22" s="34">
        <v>34.5</v>
      </c>
      <c r="BN22" s="34">
        <v>0</v>
      </c>
      <c r="BO22" s="34">
        <v>0</v>
      </c>
      <c r="BP22" s="34">
        <v>120</v>
      </c>
      <c r="BQ22" s="34">
        <v>100</v>
      </c>
    </row>
    <row r="23" spans="1:69">
      <c r="A23" s="50" t="s">
        <v>91</v>
      </c>
      <c r="B23" s="51" t="s">
        <v>0</v>
      </c>
      <c r="C23" s="52" t="s">
        <v>63</v>
      </c>
      <c r="D23" s="52" t="s">
        <v>97</v>
      </c>
      <c r="E23" s="52" t="s">
        <v>97</v>
      </c>
      <c r="G23" s="57" t="s">
        <v>91</v>
      </c>
      <c r="H23" s="44">
        <v>26</v>
      </c>
      <c r="I23" s="34">
        <v>34.5</v>
      </c>
      <c r="J23" s="34">
        <v>0</v>
      </c>
      <c r="K23" s="34">
        <v>0</v>
      </c>
      <c r="L23" s="34">
        <v>120</v>
      </c>
      <c r="M23" s="34">
        <v>100</v>
      </c>
      <c r="O23" s="62" t="s">
        <v>91</v>
      </c>
      <c r="P23" s="44">
        <v>26</v>
      </c>
      <c r="Q23" s="34">
        <v>34.5</v>
      </c>
      <c r="R23" s="34">
        <v>0</v>
      </c>
      <c r="S23" s="34">
        <v>0</v>
      </c>
      <c r="T23" s="34">
        <v>120</v>
      </c>
      <c r="U23" s="34">
        <v>100</v>
      </c>
      <c r="W23" s="57" t="s">
        <v>91</v>
      </c>
      <c r="X23" s="44">
        <v>26</v>
      </c>
      <c r="Y23" s="34">
        <v>34.5</v>
      </c>
      <c r="Z23" s="34">
        <v>0</v>
      </c>
      <c r="AA23" s="34">
        <v>0</v>
      </c>
      <c r="AB23" s="34">
        <v>120</v>
      </c>
      <c r="AC23" s="34">
        <v>100</v>
      </c>
      <c r="AE23" s="62" t="s">
        <v>91</v>
      </c>
      <c r="AF23" s="44">
        <v>26</v>
      </c>
      <c r="AG23" s="34">
        <v>34.5</v>
      </c>
      <c r="AH23" s="34">
        <v>0</v>
      </c>
      <c r="AI23" s="34">
        <v>0</v>
      </c>
      <c r="AJ23" s="34">
        <v>120</v>
      </c>
      <c r="AK23" s="34">
        <v>100</v>
      </c>
      <c r="AM23" s="57" t="s">
        <v>91</v>
      </c>
      <c r="AN23" s="44">
        <v>26</v>
      </c>
      <c r="AO23" s="34">
        <v>34.5</v>
      </c>
      <c r="AP23" s="34">
        <v>0</v>
      </c>
      <c r="AQ23" s="34">
        <v>0</v>
      </c>
      <c r="AR23" s="34">
        <v>120</v>
      </c>
      <c r="AS23" s="34">
        <v>100</v>
      </c>
      <c r="AU23" s="62" t="s">
        <v>91</v>
      </c>
      <c r="AV23" s="44">
        <v>26</v>
      </c>
      <c r="AW23" s="34">
        <v>34.5</v>
      </c>
      <c r="AX23" s="34">
        <v>0</v>
      </c>
      <c r="AY23" s="34">
        <v>0</v>
      </c>
      <c r="AZ23" s="34">
        <v>120</v>
      </c>
      <c r="BA23" s="34">
        <v>100</v>
      </c>
      <c r="BC23" s="57" t="s">
        <v>91</v>
      </c>
      <c r="BD23" s="44">
        <v>26</v>
      </c>
      <c r="BE23" s="34">
        <v>34.5</v>
      </c>
      <c r="BF23" s="34">
        <v>0</v>
      </c>
      <c r="BG23" s="34">
        <v>0</v>
      </c>
      <c r="BH23" s="34">
        <v>120</v>
      </c>
      <c r="BI23" s="34">
        <v>100</v>
      </c>
      <c r="BK23" s="62" t="s">
        <v>91</v>
      </c>
      <c r="BL23" s="44">
        <v>26</v>
      </c>
      <c r="BM23" s="34">
        <v>34.5</v>
      </c>
      <c r="BN23" s="34">
        <v>0</v>
      </c>
      <c r="BO23" s="34">
        <v>0</v>
      </c>
      <c r="BP23" s="34">
        <v>120</v>
      </c>
      <c r="BQ23" s="34">
        <v>100</v>
      </c>
    </row>
    <row r="24" spans="1:69">
      <c r="A24" s="50" t="s">
        <v>92</v>
      </c>
      <c r="B24" s="51" t="s">
        <v>0</v>
      </c>
      <c r="C24" s="52" t="s">
        <v>63</v>
      </c>
      <c r="D24" s="52" t="s">
        <v>97</v>
      </c>
      <c r="E24" s="52" t="s">
        <v>97</v>
      </c>
      <c r="G24" s="57" t="s">
        <v>92</v>
      </c>
      <c r="H24" s="44">
        <v>26</v>
      </c>
      <c r="I24" s="34">
        <v>34.5</v>
      </c>
      <c r="J24" s="34">
        <v>0</v>
      </c>
      <c r="K24" s="34">
        <v>0</v>
      </c>
      <c r="L24" s="34">
        <v>120</v>
      </c>
      <c r="M24" s="34">
        <v>100</v>
      </c>
      <c r="O24" s="62" t="s">
        <v>92</v>
      </c>
      <c r="P24" s="44">
        <v>26</v>
      </c>
      <c r="Q24" s="34">
        <v>34.5</v>
      </c>
      <c r="R24" s="34">
        <v>0</v>
      </c>
      <c r="S24" s="34">
        <v>0</v>
      </c>
      <c r="T24" s="34">
        <v>120</v>
      </c>
      <c r="U24" s="34">
        <v>100</v>
      </c>
      <c r="W24" s="57" t="s">
        <v>92</v>
      </c>
      <c r="X24" s="44">
        <v>26</v>
      </c>
      <c r="Y24" s="34">
        <v>34.5</v>
      </c>
      <c r="Z24" s="34">
        <v>0</v>
      </c>
      <c r="AA24" s="34">
        <v>0</v>
      </c>
      <c r="AB24" s="34">
        <v>120</v>
      </c>
      <c r="AC24" s="34">
        <v>100</v>
      </c>
      <c r="AE24" s="62" t="s">
        <v>92</v>
      </c>
      <c r="AF24" s="44">
        <v>26</v>
      </c>
      <c r="AG24" s="34">
        <v>34.5</v>
      </c>
      <c r="AH24" s="34">
        <v>0</v>
      </c>
      <c r="AI24" s="34">
        <v>0</v>
      </c>
      <c r="AJ24" s="34">
        <v>120</v>
      </c>
      <c r="AK24" s="34">
        <v>100</v>
      </c>
      <c r="AM24" s="57" t="s">
        <v>92</v>
      </c>
      <c r="AN24" s="44">
        <v>26</v>
      </c>
      <c r="AO24" s="34">
        <v>34.5</v>
      </c>
      <c r="AP24" s="34">
        <v>0</v>
      </c>
      <c r="AQ24" s="34">
        <v>0</v>
      </c>
      <c r="AR24" s="34">
        <v>120</v>
      </c>
      <c r="AS24" s="34">
        <v>100</v>
      </c>
      <c r="AU24" s="62" t="s">
        <v>92</v>
      </c>
      <c r="AV24" s="44">
        <v>26</v>
      </c>
      <c r="AW24" s="34">
        <v>34.5</v>
      </c>
      <c r="AX24" s="34">
        <v>0</v>
      </c>
      <c r="AY24" s="34">
        <v>0</v>
      </c>
      <c r="AZ24" s="34">
        <v>120</v>
      </c>
      <c r="BA24" s="34">
        <v>100</v>
      </c>
      <c r="BC24" s="57" t="s">
        <v>92</v>
      </c>
      <c r="BD24" s="44">
        <v>26</v>
      </c>
      <c r="BE24" s="34">
        <v>34.5</v>
      </c>
      <c r="BF24" s="34">
        <v>0</v>
      </c>
      <c r="BG24" s="34">
        <v>0</v>
      </c>
      <c r="BH24" s="34">
        <v>120</v>
      </c>
      <c r="BI24" s="34">
        <v>100</v>
      </c>
      <c r="BK24" s="62" t="s">
        <v>92</v>
      </c>
      <c r="BL24" s="44">
        <v>26</v>
      </c>
      <c r="BM24" s="34">
        <v>34.5</v>
      </c>
      <c r="BN24" s="34">
        <v>0</v>
      </c>
      <c r="BO24" s="34">
        <v>0</v>
      </c>
      <c r="BP24" s="34">
        <v>120</v>
      </c>
      <c r="BQ24" s="34">
        <v>100</v>
      </c>
    </row>
    <row r="25" spans="1:69">
      <c r="A25" s="50" t="s">
        <v>18</v>
      </c>
      <c r="B25" s="51" t="s">
        <v>0</v>
      </c>
      <c r="C25" s="52" t="s">
        <v>65</v>
      </c>
      <c r="D25" s="52" t="s">
        <v>57</v>
      </c>
      <c r="E25" s="52" t="s">
        <v>97</v>
      </c>
      <c r="G25" s="57" t="s">
        <v>18</v>
      </c>
      <c r="H25" s="44">
        <v>11</v>
      </c>
      <c r="I25" s="34">
        <v>28</v>
      </c>
      <c r="J25" s="34">
        <v>25</v>
      </c>
      <c r="K25" s="34">
        <v>0</v>
      </c>
      <c r="L25" s="34">
        <v>140</v>
      </c>
      <c r="M25" s="34">
        <v>100</v>
      </c>
      <c r="O25" s="62" t="s">
        <v>18</v>
      </c>
      <c r="P25" s="44">
        <v>11</v>
      </c>
      <c r="Q25" s="34">
        <v>28</v>
      </c>
      <c r="R25" s="34">
        <v>25</v>
      </c>
      <c r="S25" s="34">
        <v>0</v>
      </c>
      <c r="T25" s="34">
        <v>140</v>
      </c>
      <c r="U25" s="34">
        <v>100</v>
      </c>
      <c r="W25" s="57" t="s">
        <v>18</v>
      </c>
      <c r="X25" s="44">
        <v>11</v>
      </c>
      <c r="Y25" s="34">
        <v>28</v>
      </c>
      <c r="Z25" s="34">
        <v>25</v>
      </c>
      <c r="AA25" s="34">
        <v>0</v>
      </c>
      <c r="AB25" s="34">
        <v>140</v>
      </c>
      <c r="AC25" s="34">
        <v>100</v>
      </c>
      <c r="AE25" s="62" t="s">
        <v>18</v>
      </c>
      <c r="AF25" s="44">
        <v>11</v>
      </c>
      <c r="AG25" s="34">
        <v>28</v>
      </c>
      <c r="AH25" s="34">
        <v>25</v>
      </c>
      <c r="AI25" s="34">
        <v>0</v>
      </c>
      <c r="AJ25" s="34">
        <v>140</v>
      </c>
      <c r="AK25" s="34">
        <v>100</v>
      </c>
      <c r="AM25" s="57" t="s">
        <v>18</v>
      </c>
      <c r="AN25" s="44">
        <v>11</v>
      </c>
      <c r="AO25" s="34">
        <v>28</v>
      </c>
      <c r="AP25" s="34">
        <v>25</v>
      </c>
      <c r="AQ25" s="34">
        <v>0</v>
      </c>
      <c r="AR25" s="34">
        <v>140</v>
      </c>
      <c r="AS25" s="34">
        <v>100</v>
      </c>
      <c r="AU25" s="62" t="s">
        <v>18</v>
      </c>
      <c r="AV25" s="44">
        <v>11</v>
      </c>
      <c r="AW25" s="34">
        <v>28</v>
      </c>
      <c r="AX25" s="34">
        <v>25</v>
      </c>
      <c r="AY25" s="34">
        <v>0</v>
      </c>
      <c r="AZ25" s="34">
        <v>140</v>
      </c>
      <c r="BA25" s="34">
        <v>100</v>
      </c>
      <c r="BC25" s="57" t="s">
        <v>18</v>
      </c>
      <c r="BD25" s="44">
        <v>11</v>
      </c>
      <c r="BE25" s="34">
        <v>28</v>
      </c>
      <c r="BF25" s="34">
        <v>25</v>
      </c>
      <c r="BG25" s="34">
        <v>0</v>
      </c>
      <c r="BH25" s="34">
        <v>140</v>
      </c>
      <c r="BI25" s="34">
        <v>100</v>
      </c>
      <c r="BK25" s="62" t="s">
        <v>18</v>
      </c>
      <c r="BL25" s="44">
        <v>11</v>
      </c>
      <c r="BM25" s="34">
        <v>28</v>
      </c>
      <c r="BN25" s="34">
        <v>25</v>
      </c>
      <c r="BO25" s="34">
        <v>0</v>
      </c>
      <c r="BP25" s="34">
        <v>140</v>
      </c>
      <c r="BQ25" s="34">
        <v>100</v>
      </c>
    </row>
    <row r="26" spans="1:69">
      <c r="A26" s="50" t="s">
        <v>33</v>
      </c>
      <c r="B26" s="51" t="s">
        <v>87</v>
      </c>
      <c r="C26" s="52" t="s">
        <v>86</v>
      </c>
      <c r="D26" s="52" t="s">
        <v>97</v>
      </c>
      <c r="E26" s="52" t="s">
        <v>97</v>
      </c>
      <c r="G26" s="57" t="s">
        <v>33</v>
      </c>
      <c r="H26" s="44">
        <v>16</v>
      </c>
      <c r="I26" s="34">
        <v>25</v>
      </c>
      <c r="J26" s="34">
        <v>0</v>
      </c>
      <c r="K26" s="34">
        <v>0</v>
      </c>
      <c r="L26" s="34">
        <v>140</v>
      </c>
      <c r="M26" s="34">
        <v>100</v>
      </c>
      <c r="O26" s="62" t="s">
        <v>33</v>
      </c>
      <c r="P26" s="44">
        <v>16</v>
      </c>
      <c r="Q26" s="34">
        <v>25</v>
      </c>
      <c r="R26" s="34">
        <v>0</v>
      </c>
      <c r="S26" s="34">
        <v>0</v>
      </c>
      <c r="T26" s="34">
        <v>140</v>
      </c>
      <c r="U26" s="34">
        <v>100</v>
      </c>
      <c r="W26" s="57" t="s">
        <v>33</v>
      </c>
      <c r="X26" s="44">
        <v>16</v>
      </c>
      <c r="Y26" s="34">
        <v>25</v>
      </c>
      <c r="Z26" s="34">
        <v>0</v>
      </c>
      <c r="AA26" s="34">
        <v>0</v>
      </c>
      <c r="AB26" s="34">
        <v>140</v>
      </c>
      <c r="AC26" s="34">
        <v>100</v>
      </c>
      <c r="AE26" s="62" t="s">
        <v>33</v>
      </c>
      <c r="AF26" s="44">
        <v>16</v>
      </c>
      <c r="AG26" s="34">
        <v>25</v>
      </c>
      <c r="AH26" s="34">
        <v>0</v>
      </c>
      <c r="AI26" s="34">
        <v>0</v>
      </c>
      <c r="AJ26" s="34">
        <v>140</v>
      </c>
      <c r="AK26" s="34">
        <v>100</v>
      </c>
      <c r="AM26" s="57" t="s">
        <v>33</v>
      </c>
      <c r="AN26" s="44">
        <v>16</v>
      </c>
      <c r="AO26" s="34">
        <v>25</v>
      </c>
      <c r="AP26" s="34">
        <v>0</v>
      </c>
      <c r="AQ26" s="34">
        <v>0</v>
      </c>
      <c r="AR26" s="34">
        <v>140</v>
      </c>
      <c r="AS26" s="34">
        <v>100</v>
      </c>
      <c r="AU26" s="62" t="s">
        <v>33</v>
      </c>
      <c r="AV26" s="44">
        <v>16</v>
      </c>
      <c r="AW26" s="34">
        <v>25</v>
      </c>
      <c r="AX26" s="34">
        <v>0</v>
      </c>
      <c r="AY26" s="34">
        <v>0</v>
      </c>
      <c r="AZ26" s="34">
        <v>140</v>
      </c>
      <c r="BA26" s="34">
        <v>100</v>
      </c>
      <c r="BC26" s="57" t="s">
        <v>33</v>
      </c>
      <c r="BD26" s="44">
        <v>16</v>
      </c>
      <c r="BE26" s="34">
        <v>25</v>
      </c>
      <c r="BF26" s="34">
        <v>0</v>
      </c>
      <c r="BG26" s="34">
        <v>0</v>
      </c>
      <c r="BH26" s="34">
        <v>140</v>
      </c>
      <c r="BI26" s="34">
        <v>100</v>
      </c>
      <c r="BK26" s="62" t="s">
        <v>33</v>
      </c>
      <c r="BL26" s="44">
        <v>16</v>
      </c>
      <c r="BM26" s="34">
        <v>25</v>
      </c>
      <c r="BN26" s="34">
        <v>0</v>
      </c>
      <c r="BO26" s="34">
        <v>0</v>
      </c>
      <c r="BP26" s="34">
        <v>140</v>
      </c>
      <c r="BQ26" s="34">
        <v>100</v>
      </c>
    </row>
    <row r="27" spans="1:69">
      <c r="A27" s="50" t="s">
        <v>34</v>
      </c>
      <c r="B27" s="51" t="s">
        <v>0</v>
      </c>
      <c r="C27" s="52" t="s">
        <v>63</v>
      </c>
      <c r="D27" s="52" t="s">
        <v>97</v>
      </c>
      <c r="E27" s="52" t="s">
        <v>97</v>
      </c>
      <c r="G27" s="57" t="s">
        <v>34</v>
      </c>
      <c r="H27" s="44">
        <v>11</v>
      </c>
      <c r="I27" s="34">
        <v>11</v>
      </c>
      <c r="J27" s="34">
        <v>0</v>
      </c>
      <c r="K27" s="34">
        <v>0</v>
      </c>
      <c r="L27" s="34">
        <v>140</v>
      </c>
      <c r="M27" s="34">
        <v>100</v>
      </c>
      <c r="O27" s="62" t="s">
        <v>34</v>
      </c>
      <c r="P27" s="44">
        <v>11</v>
      </c>
      <c r="Q27" s="34">
        <v>11</v>
      </c>
      <c r="R27" s="34">
        <v>0</v>
      </c>
      <c r="S27" s="34">
        <v>0</v>
      </c>
      <c r="T27" s="34">
        <v>140</v>
      </c>
      <c r="U27" s="34">
        <v>100</v>
      </c>
      <c r="W27" s="57" t="s">
        <v>34</v>
      </c>
      <c r="X27" s="44">
        <v>11</v>
      </c>
      <c r="Y27" s="34">
        <v>11</v>
      </c>
      <c r="Z27" s="34">
        <v>0</v>
      </c>
      <c r="AA27" s="34">
        <v>0</v>
      </c>
      <c r="AB27" s="34">
        <v>140</v>
      </c>
      <c r="AC27" s="34">
        <v>100</v>
      </c>
      <c r="AE27" s="62" t="s">
        <v>34</v>
      </c>
      <c r="AF27" s="44">
        <v>11</v>
      </c>
      <c r="AG27" s="34">
        <v>11</v>
      </c>
      <c r="AH27" s="34">
        <v>0</v>
      </c>
      <c r="AI27" s="34">
        <v>0</v>
      </c>
      <c r="AJ27" s="34">
        <v>140</v>
      </c>
      <c r="AK27" s="34">
        <v>100</v>
      </c>
      <c r="AM27" s="57" t="s">
        <v>34</v>
      </c>
      <c r="AN27" s="44">
        <v>11</v>
      </c>
      <c r="AO27" s="34">
        <v>11</v>
      </c>
      <c r="AP27" s="34">
        <v>0</v>
      </c>
      <c r="AQ27" s="34">
        <v>0</v>
      </c>
      <c r="AR27" s="34">
        <v>140</v>
      </c>
      <c r="AS27" s="34">
        <v>100</v>
      </c>
      <c r="AU27" s="62" t="s">
        <v>34</v>
      </c>
      <c r="AV27" s="44">
        <v>11</v>
      </c>
      <c r="AW27" s="34">
        <v>11</v>
      </c>
      <c r="AX27" s="34">
        <v>0</v>
      </c>
      <c r="AY27" s="34">
        <v>0</v>
      </c>
      <c r="AZ27" s="34">
        <v>140</v>
      </c>
      <c r="BA27" s="34">
        <v>100</v>
      </c>
      <c r="BC27" s="57" t="s">
        <v>34</v>
      </c>
      <c r="BD27" s="44">
        <v>11</v>
      </c>
      <c r="BE27" s="34">
        <v>11</v>
      </c>
      <c r="BF27" s="34">
        <v>0</v>
      </c>
      <c r="BG27" s="34">
        <v>0</v>
      </c>
      <c r="BH27" s="34">
        <v>140</v>
      </c>
      <c r="BI27" s="34">
        <v>100</v>
      </c>
      <c r="BK27" s="62" t="s">
        <v>34</v>
      </c>
      <c r="BL27" s="44">
        <v>11</v>
      </c>
      <c r="BM27" s="34">
        <v>11</v>
      </c>
      <c r="BN27" s="34">
        <v>0</v>
      </c>
      <c r="BO27" s="34">
        <v>0</v>
      </c>
      <c r="BP27" s="34">
        <v>140</v>
      </c>
      <c r="BQ27" s="34">
        <v>100</v>
      </c>
    </row>
    <row r="28" spans="1:69">
      <c r="A28" s="50" t="s">
        <v>84</v>
      </c>
      <c r="B28" s="51" t="s">
        <v>0</v>
      </c>
      <c r="C28" s="52" t="s">
        <v>97</v>
      </c>
      <c r="D28" s="52" t="s">
        <v>97</v>
      </c>
      <c r="E28" s="52" t="s">
        <v>97</v>
      </c>
      <c r="G28" s="57" t="s">
        <v>84</v>
      </c>
      <c r="H28" s="44">
        <v>40</v>
      </c>
      <c r="I28" s="34">
        <v>0</v>
      </c>
      <c r="J28" s="34">
        <v>0</v>
      </c>
      <c r="K28" s="34">
        <v>0</v>
      </c>
      <c r="L28" s="34">
        <v>120</v>
      </c>
      <c r="M28" s="34">
        <v>100</v>
      </c>
      <c r="O28" s="62" t="s">
        <v>84</v>
      </c>
      <c r="P28" s="44">
        <v>40</v>
      </c>
      <c r="Q28" s="34">
        <v>0</v>
      </c>
      <c r="R28" s="34">
        <v>0</v>
      </c>
      <c r="S28" s="34">
        <v>0</v>
      </c>
      <c r="T28" s="34">
        <v>120</v>
      </c>
      <c r="U28" s="34">
        <v>100</v>
      </c>
      <c r="W28" s="57" t="s">
        <v>84</v>
      </c>
      <c r="X28" s="44">
        <v>40</v>
      </c>
      <c r="Y28" s="34">
        <v>0</v>
      </c>
      <c r="Z28" s="34">
        <v>0</v>
      </c>
      <c r="AA28" s="34">
        <v>0</v>
      </c>
      <c r="AB28" s="34">
        <v>120</v>
      </c>
      <c r="AC28" s="34">
        <v>100</v>
      </c>
      <c r="AE28" s="62" t="s">
        <v>84</v>
      </c>
      <c r="AF28" s="44">
        <v>40</v>
      </c>
      <c r="AG28" s="34">
        <v>0</v>
      </c>
      <c r="AH28" s="34">
        <v>0</v>
      </c>
      <c r="AI28" s="34">
        <v>0</v>
      </c>
      <c r="AJ28" s="34">
        <v>120</v>
      </c>
      <c r="AK28" s="34">
        <v>100</v>
      </c>
      <c r="AM28" s="57" t="s">
        <v>84</v>
      </c>
      <c r="AN28" s="44">
        <v>40</v>
      </c>
      <c r="AO28" s="34">
        <v>0</v>
      </c>
      <c r="AP28" s="34">
        <v>0</v>
      </c>
      <c r="AQ28" s="34">
        <v>0</v>
      </c>
      <c r="AR28" s="34">
        <v>120</v>
      </c>
      <c r="AS28" s="34">
        <v>100</v>
      </c>
      <c r="AU28" s="62" t="s">
        <v>84</v>
      </c>
      <c r="AV28" s="44">
        <v>40</v>
      </c>
      <c r="AW28" s="34">
        <v>0</v>
      </c>
      <c r="AX28" s="34">
        <v>0</v>
      </c>
      <c r="AY28" s="34">
        <v>0</v>
      </c>
      <c r="AZ28" s="34">
        <v>120</v>
      </c>
      <c r="BA28" s="34">
        <v>100</v>
      </c>
      <c r="BC28" s="57" t="s">
        <v>84</v>
      </c>
      <c r="BD28" s="44">
        <v>40</v>
      </c>
      <c r="BE28" s="34">
        <v>0</v>
      </c>
      <c r="BF28" s="34">
        <v>0</v>
      </c>
      <c r="BG28" s="34">
        <v>0</v>
      </c>
      <c r="BH28" s="34">
        <v>120</v>
      </c>
      <c r="BI28" s="34">
        <v>100</v>
      </c>
      <c r="BK28" s="62" t="s">
        <v>84</v>
      </c>
      <c r="BL28" s="44">
        <v>40</v>
      </c>
      <c r="BM28" s="34">
        <v>0</v>
      </c>
      <c r="BN28" s="34">
        <v>0</v>
      </c>
      <c r="BO28" s="34">
        <v>0</v>
      </c>
      <c r="BP28" s="34">
        <v>120</v>
      </c>
      <c r="BQ28" s="34">
        <v>100</v>
      </c>
    </row>
    <row r="29" spans="1:69">
      <c r="A29" s="50" t="s">
        <v>76</v>
      </c>
      <c r="B29" s="51" t="s">
        <v>0</v>
      </c>
      <c r="C29" s="52" t="s">
        <v>63</v>
      </c>
      <c r="D29" s="52" t="s">
        <v>88</v>
      </c>
      <c r="E29" s="52" t="s">
        <v>97</v>
      </c>
      <c r="G29" s="57" t="s">
        <v>76</v>
      </c>
      <c r="H29" s="44">
        <v>33</v>
      </c>
      <c r="I29" s="34">
        <v>31</v>
      </c>
      <c r="J29" s="34">
        <v>32</v>
      </c>
      <c r="K29" s="34">
        <v>0</v>
      </c>
      <c r="L29" s="34">
        <v>120</v>
      </c>
      <c r="M29" s="34">
        <v>100</v>
      </c>
      <c r="O29" s="62" t="s">
        <v>76</v>
      </c>
      <c r="P29" s="44">
        <v>33</v>
      </c>
      <c r="Q29" s="34">
        <v>31</v>
      </c>
      <c r="R29" s="34">
        <v>32</v>
      </c>
      <c r="S29" s="34">
        <v>0</v>
      </c>
      <c r="T29" s="34">
        <v>120</v>
      </c>
      <c r="U29" s="34">
        <v>100</v>
      </c>
      <c r="W29" s="57" t="s">
        <v>76</v>
      </c>
      <c r="X29" s="44">
        <v>33</v>
      </c>
      <c r="Y29" s="34">
        <v>31</v>
      </c>
      <c r="Z29" s="34">
        <v>32</v>
      </c>
      <c r="AA29" s="34">
        <v>0</v>
      </c>
      <c r="AB29" s="34">
        <v>120</v>
      </c>
      <c r="AC29" s="34">
        <v>100</v>
      </c>
      <c r="AE29" s="62" t="s">
        <v>76</v>
      </c>
      <c r="AF29" s="44">
        <v>33</v>
      </c>
      <c r="AG29" s="34">
        <v>31</v>
      </c>
      <c r="AH29" s="34">
        <v>32</v>
      </c>
      <c r="AI29" s="34">
        <v>0</v>
      </c>
      <c r="AJ29" s="34">
        <v>120</v>
      </c>
      <c r="AK29" s="34">
        <v>100</v>
      </c>
      <c r="AM29" s="57" t="s">
        <v>76</v>
      </c>
      <c r="AN29" s="44">
        <v>33</v>
      </c>
      <c r="AO29" s="34">
        <v>31</v>
      </c>
      <c r="AP29" s="34">
        <v>32</v>
      </c>
      <c r="AQ29" s="34">
        <v>0</v>
      </c>
      <c r="AR29" s="34">
        <v>120</v>
      </c>
      <c r="AS29" s="34">
        <v>100</v>
      </c>
      <c r="AU29" s="62" t="s">
        <v>76</v>
      </c>
      <c r="AV29" s="44">
        <v>33</v>
      </c>
      <c r="AW29" s="34">
        <v>31</v>
      </c>
      <c r="AX29" s="34">
        <v>32</v>
      </c>
      <c r="AY29" s="34">
        <v>0</v>
      </c>
      <c r="AZ29" s="34">
        <v>120</v>
      </c>
      <c r="BA29" s="34">
        <v>100</v>
      </c>
      <c r="BC29" s="57" t="s">
        <v>76</v>
      </c>
      <c r="BD29" s="44">
        <v>33</v>
      </c>
      <c r="BE29" s="34">
        <v>31</v>
      </c>
      <c r="BF29" s="34">
        <v>32</v>
      </c>
      <c r="BG29" s="34">
        <v>0</v>
      </c>
      <c r="BH29" s="34">
        <v>120</v>
      </c>
      <c r="BI29" s="34">
        <v>100</v>
      </c>
      <c r="BK29" s="62" t="s">
        <v>76</v>
      </c>
      <c r="BL29" s="44">
        <v>33</v>
      </c>
      <c r="BM29" s="34">
        <v>31</v>
      </c>
      <c r="BN29" s="34">
        <v>32</v>
      </c>
      <c r="BO29" s="34">
        <v>0</v>
      </c>
      <c r="BP29" s="34">
        <v>120</v>
      </c>
      <c r="BQ29" s="34">
        <v>100</v>
      </c>
    </row>
    <row r="30" spans="1:69">
      <c r="A30" s="50" t="s">
        <v>31</v>
      </c>
      <c r="B30" s="51" t="s">
        <v>0</v>
      </c>
      <c r="C30" s="52" t="s">
        <v>63</v>
      </c>
      <c r="D30" s="52" t="s">
        <v>97</v>
      </c>
      <c r="E30" s="52" t="s">
        <v>97</v>
      </c>
      <c r="G30" s="57" t="s">
        <v>31</v>
      </c>
      <c r="H30" s="44">
        <v>24</v>
      </c>
      <c r="I30" s="34">
        <v>16</v>
      </c>
      <c r="J30" s="34">
        <v>0</v>
      </c>
      <c r="K30" s="34">
        <v>0</v>
      </c>
      <c r="L30" s="34">
        <v>100</v>
      </c>
      <c r="M30" s="34">
        <v>100</v>
      </c>
      <c r="O30" s="62" t="s">
        <v>31</v>
      </c>
      <c r="P30" s="44">
        <v>24</v>
      </c>
      <c r="Q30" s="34">
        <v>16</v>
      </c>
      <c r="R30" s="34">
        <v>0</v>
      </c>
      <c r="S30" s="34">
        <v>0</v>
      </c>
      <c r="T30" s="34">
        <v>100</v>
      </c>
      <c r="U30" s="34">
        <v>100</v>
      </c>
      <c r="W30" s="57" t="s">
        <v>31</v>
      </c>
      <c r="X30" s="44">
        <v>24</v>
      </c>
      <c r="Y30" s="34">
        <v>16</v>
      </c>
      <c r="Z30" s="34">
        <v>0</v>
      </c>
      <c r="AA30" s="34">
        <v>0</v>
      </c>
      <c r="AB30" s="34">
        <v>100</v>
      </c>
      <c r="AC30" s="34">
        <v>100</v>
      </c>
      <c r="AE30" s="62" t="s">
        <v>31</v>
      </c>
      <c r="AF30" s="44">
        <v>24</v>
      </c>
      <c r="AG30" s="34">
        <v>16</v>
      </c>
      <c r="AH30" s="34">
        <v>0</v>
      </c>
      <c r="AI30" s="34">
        <v>0</v>
      </c>
      <c r="AJ30" s="34">
        <v>100</v>
      </c>
      <c r="AK30" s="34">
        <v>100</v>
      </c>
      <c r="AM30" s="57" t="s">
        <v>31</v>
      </c>
      <c r="AN30" s="44">
        <v>24</v>
      </c>
      <c r="AO30" s="34">
        <v>16</v>
      </c>
      <c r="AP30" s="34">
        <v>0</v>
      </c>
      <c r="AQ30" s="34">
        <v>0</v>
      </c>
      <c r="AR30" s="34">
        <v>100</v>
      </c>
      <c r="AS30" s="34">
        <v>100</v>
      </c>
      <c r="AU30" s="62" t="s">
        <v>31</v>
      </c>
      <c r="AV30" s="44">
        <v>24</v>
      </c>
      <c r="AW30" s="34">
        <v>16</v>
      </c>
      <c r="AX30" s="34">
        <v>0</v>
      </c>
      <c r="AY30" s="34">
        <v>0</v>
      </c>
      <c r="AZ30" s="34">
        <v>100</v>
      </c>
      <c r="BA30" s="34">
        <v>100</v>
      </c>
      <c r="BC30" s="57" t="s">
        <v>31</v>
      </c>
      <c r="BD30" s="44">
        <v>24</v>
      </c>
      <c r="BE30" s="34">
        <v>16</v>
      </c>
      <c r="BF30" s="34">
        <v>0</v>
      </c>
      <c r="BG30" s="34">
        <v>0</v>
      </c>
      <c r="BH30" s="34">
        <v>100</v>
      </c>
      <c r="BI30" s="34">
        <v>100</v>
      </c>
      <c r="BK30" s="62" t="s">
        <v>31</v>
      </c>
      <c r="BL30" s="44">
        <v>24</v>
      </c>
      <c r="BM30" s="34">
        <v>16</v>
      </c>
      <c r="BN30" s="34">
        <v>0</v>
      </c>
      <c r="BO30" s="34">
        <v>0</v>
      </c>
      <c r="BP30" s="34">
        <v>100</v>
      </c>
      <c r="BQ30" s="34">
        <v>100</v>
      </c>
    </row>
    <row r="31" spans="1:69">
      <c r="A31" s="50" t="s">
        <v>10</v>
      </c>
      <c r="B31" s="51" t="s">
        <v>0</v>
      </c>
      <c r="C31" s="52" t="s">
        <v>63</v>
      </c>
      <c r="D31" s="52" t="s">
        <v>65</v>
      </c>
      <c r="E31" s="52" t="s">
        <v>97</v>
      </c>
      <c r="G31" s="57" t="s">
        <v>10</v>
      </c>
      <c r="H31" s="44">
        <v>4.2</v>
      </c>
      <c r="I31" s="34">
        <v>9.6</v>
      </c>
      <c r="J31" s="34">
        <v>9</v>
      </c>
      <c r="K31" s="34">
        <v>0</v>
      </c>
      <c r="L31" s="34">
        <v>140</v>
      </c>
      <c r="M31" s="34">
        <v>100</v>
      </c>
      <c r="O31" s="62" t="s">
        <v>10</v>
      </c>
      <c r="P31" s="44">
        <v>4.2</v>
      </c>
      <c r="Q31" s="34">
        <v>9.6</v>
      </c>
      <c r="R31" s="34">
        <v>9</v>
      </c>
      <c r="S31" s="34">
        <v>0</v>
      </c>
      <c r="T31" s="34">
        <v>140</v>
      </c>
      <c r="U31" s="34">
        <v>100</v>
      </c>
      <c r="W31" s="57" t="s">
        <v>10</v>
      </c>
      <c r="X31" s="44">
        <v>4.2</v>
      </c>
      <c r="Y31" s="34">
        <v>9.6</v>
      </c>
      <c r="Z31" s="34">
        <v>9</v>
      </c>
      <c r="AA31" s="34">
        <v>0</v>
      </c>
      <c r="AB31" s="34">
        <v>140</v>
      </c>
      <c r="AC31" s="34">
        <v>100</v>
      </c>
      <c r="AE31" s="62" t="s">
        <v>10</v>
      </c>
      <c r="AF31" s="44">
        <v>4.2</v>
      </c>
      <c r="AG31" s="34">
        <v>9.6</v>
      </c>
      <c r="AH31" s="34">
        <v>9</v>
      </c>
      <c r="AI31" s="34">
        <v>0</v>
      </c>
      <c r="AJ31" s="34">
        <v>140</v>
      </c>
      <c r="AK31" s="34">
        <v>100</v>
      </c>
      <c r="AM31" s="57" t="s">
        <v>10</v>
      </c>
      <c r="AN31" s="44">
        <v>4.2</v>
      </c>
      <c r="AO31" s="34">
        <v>9.6</v>
      </c>
      <c r="AP31" s="34">
        <v>9</v>
      </c>
      <c r="AQ31" s="34">
        <v>0</v>
      </c>
      <c r="AR31" s="34">
        <v>140</v>
      </c>
      <c r="AS31" s="34">
        <v>100</v>
      </c>
      <c r="AU31" s="62" t="s">
        <v>10</v>
      </c>
      <c r="AV31" s="44">
        <v>4.2</v>
      </c>
      <c r="AW31" s="34">
        <v>9.6</v>
      </c>
      <c r="AX31" s="34">
        <v>9</v>
      </c>
      <c r="AY31" s="34">
        <v>0</v>
      </c>
      <c r="AZ31" s="34">
        <v>140</v>
      </c>
      <c r="BA31" s="34">
        <v>100</v>
      </c>
      <c r="BC31" s="57" t="s">
        <v>10</v>
      </c>
      <c r="BD31" s="44">
        <v>4.2</v>
      </c>
      <c r="BE31" s="34">
        <v>9.6</v>
      </c>
      <c r="BF31" s="34">
        <v>9</v>
      </c>
      <c r="BG31" s="34">
        <v>0</v>
      </c>
      <c r="BH31" s="34">
        <v>140</v>
      </c>
      <c r="BI31" s="34">
        <v>100</v>
      </c>
      <c r="BK31" s="62" t="s">
        <v>10</v>
      </c>
      <c r="BL31" s="44">
        <v>4.2</v>
      </c>
      <c r="BM31" s="34">
        <v>9.6</v>
      </c>
      <c r="BN31" s="34">
        <v>9</v>
      </c>
      <c r="BO31" s="34">
        <v>0</v>
      </c>
      <c r="BP31" s="34">
        <v>140</v>
      </c>
      <c r="BQ31" s="34">
        <v>100</v>
      </c>
    </row>
    <row r="32" spans="1:69">
      <c r="A32" s="50" t="s">
        <v>20</v>
      </c>
      <c r="B32" s="51" t="s">
        <v>0</v>
      </c>
      <c r="C32" s="52" t="s">
        <v>63</v>
      </c>
      <c r="D32" s="52" t="s">
        <v>97</v>
      </c>
      <c r="E32" s="52" t="s">
        <v>97</v>
      </c>
      <c r="G32" s="57" t="s">
        <v>20</v>
      </c>
      <c r="H32" s="44">
        <v>24</v>
      </c>
      <c r="I32" s="34">
        <v>16</v>
      </c>
      <c r="J32" s="34">
        <v>0</v>
      </c>
      <c r="K32" s="34">
        <v>0</v>
      </c>
      <c r="L32" s="34">
        <v>100</v>
      </c>
      <c r="M32" s="34">
        <v>100</v>
      </c>
      <c r="O32" s="62" t="s">
        <v>20</v>
      </c>
      <c r="P32" s="44">
        <v>24</v>
      </c>
      <c r="Q32" s="34">
        <v>16</v>
      </c>
      <c r="R32" s="34">
        <v>0</v>
      </c>
      <c r="S32" s="34">
        <v>0</v>
      </c>
      <c r="T32" s="34">
        <v>100</v>
      </c>
      <c r="U32" s="34">
        <v>100</v>
      </c>
      <c r="W32" s="57" t="s">
        <v>20</v>
      </c>
      <c r="X32" s="44">
        <v>24</v>
      </c>
      <c r="Y32" s="34">
        <v>16</v>
      </c>
      <c r="Z32" s="34">
        <v>0</v>
      </c>
      <c r="AA32" s="34">
        <v>0</v>
      </c>
      <c r="AB32" s="34">
        <v>100</v>
      </c>
      <c r="AC32" s="34">
        <v>100</v>
      </c>
      <c r="AE32" s="62" t="s">
        <v>20</v>
      </c>
      <c r="AF32" s="44">
        <v>24</v>
      </c>
      <c r="AG32" s="34">
        <v>16</v>
      </c>
      <c r="AH32" s="34">
        <v>0</v>
      </c>
      <c r="AI32" s="34">
        <v>0</v>
      </c>
      <c r="AJ32" s="34">
        <v>100</v>
      </c>
      <c r="AK32" s="34">
        <v>100</v>
      </c>
      <c r="AM32" s="57" t="s">
        <v>20</v>
      </c>
      <c r="AN32" s="44">
        <v>24</v>
      </c>
      <c r="AO32" s="34">
        <v>16</v>
      </c>
      <c r="AP32" s="34">
        <v>0</v>
      </c>
      <c r="AQ32" s="34">
        <v>0</v>
      </c>
      <c r="AR32" s="34">
        <v>100</v>
      </c>
      <c r="AS32" s="34">
        <v>100</v>
      </c>
      <c r="AU32" s="62" t="s">
        <v>20</v>
      </c>
      <c r="AV32" s="44">
        <v>24</v>
      </c>
      <c r="AW32" s="34">
        <v>16</v>
      </c>
      <c r="AX32" s="34">
        <v>0</v>
      </c>
      <c r="AY32" s="34">
        <v>0</v>
      </c>
      <c r="AZ32" s="34">
        <v>100</v>
      </c>
      <c r="BA32" s="34">
        <v>100</v>
      </c>
      <c r="BC32" s="57" t="s">
        <v>20</v>
      </c>
      <c r="BD32" s="44">
        <v>24</v>
      </c>
      <c r="BE32" s="34">
        <v>16</v>
      </c>
      <c r="BF32" s="34">
        <v>0</v>
      </c>
      <c r="BG32" s="34">
        <v>0</v>
      </c>
      <c r="BH32" s="34">
        <v>100</v>
      </c>
      <c r="BI32" s="34">
        <v>100</v>
      </c>
      <c r="BK32" s="62" t="s">
        <v>20</v>
      </c>
      <c r="BL32" s="44">
        <v>24</v>
      </c>
      <c r="BM32" s="34">
        <v>16</v>
      </c>
      <c r="BN32" s="34">
        <v>0</v>
      </c>
      <c r="BO32" s="34">
        <v>0</v>
      </c>
      <c r="BP32" s="34">
        <v>100</v>
      </c>
      <c r="BQ32" s="34">
        <v>100</v>
      </c>
    </row>
    <row r="33" spans="1:69">
      <c r="A33" s="50" t="s">
        <v>23</v>
      </c>
      <c r="B33" s="51" t="s">
        <v>0</v>
      </c>
      <c r="C33" s="52" t="s">
        <v>63</v>
      </c>
      <c r="D33" s="52" t="s">
        <v>65</v>
      </c>
      <c r="E33" s="52" t="s">
        <v>97</v>
      </c>
      <c r="G33" s="57" t="s">
        <v>23</v>
      </c>
      <c r="H33" s="44">
        <v>11</v>
      </c>
      <c r="I33" s="34">
        <v>11</v>
      </c>
      <c r="J33" s="34">
        <v>10</v>
      </c>
      <c r="K33" s="34">
        <v>0</v>
      </c>
      <c r="L33" s="34">
        <v>140</v>
      </c>
      <c r="M33" s="34">
        <v>100</v>
      </c>
      <c r="O33" s="62" t="s">
        <v>23</v>
      </c>
      <c r="P33" s="44">
        <v>11</v>
      </c>
      <c r="Q33" s="34">
        <v>11</v>
      </c>
      <c r="R33" s="34">
        <v>10</v>
      </c>
      <c r="S33" s="34">
        <v>0</v>
      </c>
      <c r="T33" s="34">
        <v>140</v>
      </c>
      <c r="U33" s="34">
        <v>100</v>
      </c>
      <c r="W33" s="57" t="s">
        <v>23</v>
      </c>
      <c r="X33" s="44">
        <v>11</v>
      </c>
      <c r="Y33" s="34">
        <v>11</v>
      </c>
      <c r="Z33" s="34">
        <v>10</v>
      </c>
      <c r="AA33" s="34">
        <v>0</v>
      </c>
      <c r="AB33" s="34">
        <v>140</v>
      </c>
      <c r="AC33" s="34">
        <v>100</v>
      </c>
      <c r="AE33" s="62" t="s">
        <v>23</v>
      </c>
      <c r="AF33" s="44">
        <v>11</v>
      </c>
      <c r="AG33" s="34">
        <v>11</v>
      </c>
      <c r="AH33" s="34">
        <v>10</v>
      </c>
      <c r="AI33" s="34">
        <v>0</v>
      </c>
      <c r="AJ33" s="34">
        <v>140</v>
      </c>
      <c r="AK33" s="34">
        <v>100</v>
      </c>
      <c r="AM33" s="57" t="s">
        <v>23</v>
      </c>
      <c r="AN33" s="44">
        <v>11</v>
      </c>
      <c r="AO33" s="34">
        <v>11</v>
      </c>
      <c r="AP33" s="34">
        <v>10</v>
      </c>
      <c r="AQ33" s="34">
        <v>0</v>
      </c>
      <c r="AR33" s="34">
        <v>140</v>
      </c>
      <c r="AS33" s="34">
        <v>100</v>
      </c>
      <c r="AU33" s="62" t="s">
        <v>23</v>
      </c>
      <c r="AV33" s="44">
        <v>11</v>
      </c>
      <c r="AW33" s="34">
        <v>11</v>
      </c>
      <c r="AX33" s="34">
        <v>10</v>
      </c>
      <c r="AY33" s="34">
        <v>0</v>
      </c>
      <c r="AZ33" s="34">
        <v>140</v>
      </c>
      <c r="BA33" s="34">
        <v>100</v>
      </c>
      <c r="BC33" s="57" t="s">
        <v>23</v>
      </c>
      <c r="BD33" s="44">
        <v>11</v>
      </c>
      <c r="BE33" s="34">
        <v>11</v>
      </c>
      <c r="BF33" s="34">
        <v>10</v>
      </c>
      <c r="BG33" s="34">
        <v>0</v>
      </c>
      <c r="BH33" s="34">
        <v>140</v>
      </c>
      <c r="BI33" s="34">
        <v>100</v>
      </c>
      <c r="BK33" s="62" t="s">
        <v>23</v>
      </c>
      <c r="BL33" s="44">
        <v>11</v>
      </c>
      <c r="BM33" s="34">
        <v>11</v>
      </c>
      <c r="BN33" s="34">
        <v>10</v>
      </c>
      <c r="BO33" s="34">
        <v>0</v>
      </c>
      <c r="BP33" s="34">
        <v>140</v>
      </c>
      <c r="BQ33" s="34">
        <v>100</v>
      </c>
    </row>
    <row r="34" spans="1:69">
      <c r="A34" s="50" t="s">
        <v>78</v>
      </c>
      <c r="B34" s="51" t="s">
        <v>0</v>
      </c>
      <c r="C34" s="52" t="s">
        <v>97</v>
      </c>
      <c r="D34" s="52" t="s">
        <v>97</v>
      </c>
      <c r="E34" s="52" t="s">
        <v>97</v>
      </c>
      <c r="G34" s="57" t="s">
        <v>78</v>
      </c>
      <c r="H34" s="44">
        <v>10</v>
      </c>
      <c r="I34" s="34">
        <v>0</v>
      </c>
      <c r="J34" s="34">
        <v>0</v>
      </c>
      <c r="K34" s="34">
        <v>0</v>
      </c>
      <c r="L34" s="34">
        <v>140</v>
      </c>
      <c r="M34" s="34">
        <v>100</v>
      </c>
      <c r="O34" s="62" t="s">
        <v>78</v>
      </c>
      <c r="P34" s="44">
        <v>10</v>
      </c>
      <c r="Q34" s="34">
        <v>0</v>
      </c>
      <c r="R34" s="34">
        <v>0</v>
      </c>
      <c r="S34" s="34">
        <v>0</v>
      </c>
      <c r="T34" s="34">
        <v>140</v>
      </c>
      <c r="U34" s="34">
        <v>100</v>
      </c>
      <c r="W34" s="57" t="s">
        <v>78</v>
      </c>
      <c r="X34" s="44">
        <v>10</v>
      </c>
      <c r="Y34" s="34">
        <v>0</v>
      </c>
      <c r="Z34" s="34">
        <v>0</v>
      </c>
      <c r="AA34" s="34">
        <v>0</v>
      </c>
      <c r="AB34" s="34">
        <v>140</v>
      </c>
      <c r="AC34" s="34">
        <v>100</v>
      </c>
      <c r="AE34" s="62" t="s">
        <v>78</v>
      </c>
      <c r="AF34" s="44">
        <v>10</v>
      </c>
      <c r="AG34" s="34">
        <v>0</v>
      </c>
      <c r="AH34" s="34">
        <v>0</v>
      </c>
      <c r="AI34" s="34">
        <v>0</v>
      </c>
      <c r="AJ34" s="34">
        <v>140</v>
      </c>
      <c r="AK34" s="34">
        <v>100</v>
      </c>
      <c r="AM34" s="57" t="s">
        <v>78</v>
      </c>
      <c r="AN34" s="44">
        <v>10</v>
      </c>
      <c r="AO34" s="34">
        <v>0</v>
      </c>
      <c r="AP34" s="34">
        <v>0</v>
      </c>
      <c r="AQ34" s="34">
        <v>0</v>
      </c>
      <c r="AR34" s="34">
        <v>140</v>
      </c>
      <c r="AS34" s="34">
        <v>100</v>
      </c>
      <c r="AU34" s="62" t="s">
        <v>78</v>
      </c>
      <c r="AV34" s="44">
        <v>10</v>
      </c>
      <c r="AW34" s="34">
        <v>0</v>
      </c>
      <c r="AX34" s="34">
        <v>0</v>
      </c>
      <c r="AY34" s="34">
        <v>0</v>
      </c>
      <c r="AZ34" s="34">
        <v>140</v>
      </c>
      <c r="BA34" s="34">
        <v>100</v>
      </c>
      <c r="BC34" s="57" t="s">
        <v>78</v>
      </c>
      <c r="BD34" s="44">
        <v>10</v>
      </c>
      <c r="BE34" s="34">
        <v>0</v>
      </c>
      <c r="BF34" s="34">
        <v>0</v>
      </c>
      <c r="BG34" s="34">
        <v>0</v>
      </c>
      <c r="BH34" s="34">
        <v>140</v>
      </c>
      <c r="BI34" s="34">
        <v>100</v>
      </c>
      <c r="BK34" s="62" t="s">
        <v>78</v>
      </c>
      <c r="BL34" s="44">
        <v>10</v>
      </c>
      <c r="BM34" s="34">
        <v>0</v>
      </c>
      <c r="BN34" s="34">
        <v>0</v>
      </c>
      <c r="BO34" s="34">
        <v>0</v>
      </c>
      <c r="BP34" s="34">
        <v>140</v>
      </c>
      <c r="BQ34" s="34">
        <v>100</v>
      </c>
    </row>
    <row r="35" spans="1:69">
      <c r="A35" s="50" t="s">
        <v>32</v>
      </c>
      <c r="B35" s="51" t="s">
        <v>86</v>
      </c>
      <c r="C35" s="52" t="s">
        <v>65</v>
      </c>
      <c r="D35" s="52" t="s">
        <v>97</v>
      </c>
      <c r="E35" s="52" t="s">
        <v>97</v>
      </c>
      <c r="G35" s="57" t="s">
        <v>32</v>
      </c>
      <c r="H35" s="44">
        <v>25</v>
      </c>
      <c r="I35" s="34">
        <v>24</v>
      </c>
      <c r="J35" s="34">
        <v>0</v>
      </c>
      <c r="K35" s="34">
        <v>0</v>
      </c>
      <c r="L35" s="34">
        <v>140</v>
      </c>
      <c r="M35" s="34">
        <v>100</v>
      </c>
      <c r="O35" s="62" t="s">
        <v>32</v>
      </c>
      <c r="P35" s="44">
        <v>25</v>
      </c>
      <c r="Q35" s="34">
        <v>24</v>
      </c>
      <c r="R35" s="34">
        <v>0</v>
      </c>
      <c r="S35" s="34">
        <v>0</v>
      </c>
      <c r="T35" s="34">
        <v>140</v>
      </c>
      <c r="U35" s="34">
        <v>100</v>
      </c>
      <c r="W35" s="57" t="s">
        <v>32</v>
      </c>
      <c r="X35" s="44">
        <v>25</v>
      </c>
      <c r="Y35" s="34">
        <v>24</v>
      </c>
      <c r="Z35" s="34">
        <v>0</v>
      </c>
      <c r="AA35" s="34">
        <v>0</v>
      </c>
      <c r="AB35" s="34">
        <v>140</v>
      </c>
      <c r="AC35" s="34">
        <v>100</v>
      </c>
      <c r="AE35" s="62" t="s">
        <v>32</v>
      </c>
      <c r="AF35" s="44">
        <v>25</v>
      </c>
      <c r="AG35" s="34">
        <v>24</v>
      </c>
      <c r="AH35" s="34">
        <v>0</v>
      </c>
      <c r="AI35" s="34">
        <v>0</v>
      </c>
      <c r="AJ35" s="34">
        <v>140</v>
      </c>
      <c r="AK35" s="34">
        <v>100</v>
      </c>
      <c r="AM35" s="57" t="s">
        <v>32</v>
      </c>
      <c r="AN35" s="44">
        <v>25</v>
      </c>
      <c r="AO35" s="34">
        <v>24</v>
      </c>
      <c r="AP35" s="34">
        <v>0</v>
      </c>
      <c r="AQ35" s="34">
        <v>0</v>
      </c>
      <c r="AR35" s="34">
        <v>140</v>
      </c>
      <c r="AS35" s="34">
        <v>100</v>
      </c>
      <c r="AU35" s="62" t="s">
        <v>32</v>
      </c>
      <c r="AV35" s="44">
        <v>25</v>
      </c>
      <c r="AW35" s="34">
        <v>24</v>
      </c>
      <c r="AX35" s="34">
        <v>0</v>
      </c>
      <c r="AY35" s="34">
        <v>0</v>
      </c>
      <c r="AZ35" s="34">
        <v>140</v>
      </c>
      <c r="BA35" s="34">
        <v>100</v>
      </c>
      <c r="BC35" s="57" t="s">
        <v>32</v>
      </c>
      <c r="BD35" s="44">
        <v>25</v>
      </c>
      <c r="BE35" s="34">
        <v>24</v>
      </c>
      <c r="BF35" s="34">
        <v>0</v>
      </c>
      <c r="BG35" s="34">
        <v>0</v>
      </c>
      <c r="BH35" s="34">
        <v>140</v>
      </c>
      <c r="BI35" s="34">
        <v>100</v>
      </c>
      <c r="BK35" s="62" t="s">
        <v>32</v>
      </c>
      <c r="BL35" s="44">
        <v>25</v>
      </c>
      <c r="BM35" s="34">
        <v>24</v>
      </c>
      <c r="BN35" s="34">
        <v>0</v>
      </c>
      <c r="BO35" s="34">
        <v>0</v>
      </c>
      <c r="BP35" s="34">
        <v>140</v>
      </c>
      <c r="BQ35" s="34">
        <v>100</v>
      </c>
    </row>
    <row r="36" spans="1:69">
      <c r="A36" s="50" t="s">
        <v>94</v>
      </c>
      <c r="B36" s="51" t="s">
        <v>0</v>
      </c>
      <c r="C36" s="52" t="s">
        <v>97</v>
      </c>
      <c r="D36" s="52" t="s">
        <v>97</v>
      </c>
      <c r="E36" s="52" t="s">
        <v>97</v>
      </c>
      <c r="G36" s="57" t="s">
        <v>94</v>
      </c>
      <c r="H36" s="44">
        <v>18.600000000000001</v>
      </c>
      <c r="I36" s="34">
        <v>0</v>
      </c>
      <c r="J36" s="34">
        <v>0</v>
      </c>
      <c r="K36" s="34">
        <v>0</v>
      </c>
      <c r="L36" s="34">
        <v>140</v>
      </c>
      <c r="M36" s="34">
        <v>100</v>
      </c>
      <c r="O36" s="62" t="s">
        <v>94</v>
      </c>
      <c r="P36" s="44">
        <v>18.600000000000001</v>
      </c>
      <c r="Q36" s="34">
        <v>0</v>
      </c>
      <c r="R36" s="34">
        <v>0</v>
      </c>
      <c r="S36" s="34">
        <v>0</v>
      </c>
      <c r="T36" s="34">
        <v>140</v>
      </c>
      <c r="U36" s="34">
        <v>100</v>
      </c>
      <c r="W36" s="57" t="s">
        <v>94</v>
      </c>
      <c r="X36" s="44">
        <v>18.600000000000001</v>
      </c>
      <c r="Y36" s="34">
        <v>0</v>
      </c>
      <c r="Z36" s="34">
        <v>0</v>
      </c>
      <c r="AA36" s="34">
        <v>0</v>
      </c>
      <c r="AB36" s="34">
        <v>140</v>
      </c>
      <c r="AC36" s="34">
        <v>100</v>
      </c>
      <c r="AE36" s="62" t="s">
        <v>94</v>
      </c>
      <c r="AF36" s="44">
        <v>18.600000000000001</v>
      </c>
      <c r="AG36" s="34">
        <v>0</v>
      </c>
      <c r="AH36" s="34">
        <v>0</v>
      </c>
      <c r="AI36" s="34">
        <v>0</v>
      </c>
      <c r="AJ36" s="34">
        <v>140</v>
      </c>
      <c r="AK36" s="34">
        <v>100</v>
      </c>
      <c r="AM36" s="57" t="s">
        <v>94</v>
      </c>
      <c r="AN36" s="44">
        <v>18.600000000000001</v>
      </c>
      <c r="AO36" s="34">
        <v>0</v>
      </c>
      <c r="AP36" s="34">
        <v>0</v>
      </c>
      <c r="AQ36" s="34">
        <v>0</v>
      </c>
      <c r="AR36" s="34">
        <v>140</v>
      </c>
      <c r="AS36" s="34">
        <v>100</v>
      </c>
      <c r="AU36" s="62" t="s">
        <v>94</v>
      </c>
      <c r="AV36" s="44">
        <v>18.600000000000001</v>
      </c>
      <c r="AW36" s="34">
        <v>0</v>
      </c>
      <c r="AX36" s="34">
        <v>0</v>
      </c>
      <c r="AY36" s="34">
        <v>0</v>
      </c>
      <c r="AZ36" s="34">
        <v>140</v>
      </c>
      <c r="BA36" s="34">
        <v>100</v>
      </c>
      <c r="BC36" s="57" t="s">
        <v>94</v>
      </c>
      <c r="BD36" s="44">
        <v>18.600000000000001</v>
      </c>
      <c r="BE36" s="34">
        <v>0</v>
      </c>
      <c r="BF36" s="34">
        <v>0</v>
      </c>
      <c r="BG36" s="34">
        <v>0</v>
      </c>
      <c r="BH36" s="34">
        <v>140</v>
      </c>
      <c r="BI36" s="34">
        <v>100</v>
      </c>
      <c r="BK36" s="62" t="s">
        <v>94</v>
      </c>
      <c r="BL36" s="44">
        <v>18.600000000000001</v>
      </c>
      <c r="BM36" s="34">
        <v>0</v>
      </c>
      <c r="BN36" s="34">
        <v>0</v>
      </c>
      <c r="BO36" s="34">
        <v>0</v>
      </c>
      <c r="BP36" s="34">
        <v>140</v>
      </c>
      <c r="BQ36" s="34">
        <v>100</v>
      </c>
    </row>
    <row r="37" spans="1:69">
      <c r="A37" s="50" t="s">
        <v>61</v>
      </c>
      <c r="B37" s="51" t="s">
        <v>0</v>
      </c>
      <c r="C37" s="52" t="s">
        <v>97</v>
      </c>
      <c r="D37" s="52" t="s">
        <v>97</v>
      </c>
      <c r="E37" s="52" t="s">
        <v>97</v>
      </c>
      <c r="G37" s="57" t="s">
        <v>61</v>
      </c>
      <c r="H37" s="44">
        <v>24</v>
      </c>
      <c r="I37" s="34">
        <v>0</v>
      </c>
      <c r="J37" s="34">
        <v>0</v>
      </c>
      <c r="K37" s="34">
        <v>0</v>
      </c>
      <c r="L37" s="34">
        <v>120</v>
      </c>
      <c r="M37" s="34">
        <v>100</v>
      </c>
      <c r="O37" s="62" t="s">
        <v>61</v>
      </c>
      <c r="P37" s="44">
        <v>24</v>
      </c>
      <c r="Q37" s="34">
        <v>0</v>
      </c>
      <c r="R37" s="34">
        <v>0</v>
      </c>
      <c r="S37" s="34">
        <v>0</v>
      </c>
      <c r="T37" s="34">
        <v>120</v>
      </c>
      <c r="U37" s="34">
        <v>100</v>
      </c>
      <c r="W37" s="57" t="s">
        <v>61</v>
      </c>
      <c r="X37" s="44">
        <v>24</v>
      </c>
      <c r="Y37" s="34">
        <v>0</v>
      </c>
      <c r="Z37" s="34">
        <v>0</v>
      </c>
      <c r="AA37" s="34">
        <v>0</v>
      </c>
      <c r="AB37" s="34">
        <v>120</v>
      </c>
      <c r="AC37" s="34">
        <v>100</v>
      </c>
      <c r="AE37" s="62" t="s">
        <v>61</v>
      </c>
      <c r="AF37" s="44">
        <v>24</v>
      </c>
      <c r="AG37" s="34">
        <v>0</v>
      </c>
      <c r="AH37" s="34">
        <v>0</v>
      </c>
      <c r="AI37" s="34">
        <v>0</v>
      </c>
      <c r="AJ37" s="34">
        <v>120</v>
      </c>
      <c r="AK37" s="34">
        <v>100</v>
      </c>
      <c r="AM37" s="57" t="s">
        <v>61</v>
      </c>
      <c r="AN37" s="44">
        <v>24</v>
      </c>
      <c r="AO37" s="34">
        <v>0</v>
      </c>
      <c r="AP37" s="34">
        <v>0</v>
      </c>
      <c r="AQ37" s="34">
        <v>0</v>
      </c>
      <c r="AR37" s="34">
        <v>120</v>
      </c>
      <c r="AS37" s="34">
        <v>100</v>
      </c>
      <c r="AU37" s="62" t="s">
        <v>61</v>
      </c>
      <c r="AV37" s="44">
        <v>24</v>
      </c>
      <c r="AW37" s="34">
        <v>0</v>
      </c>
      <c r="AX37" s="34">
        <v>0</v>
      </c>
      <c r="AY37" s="34">
        <v>0</v>
      </c>
      <c r="AZ37" s="34">
        <v>120</v>
      </c>
      <c r="BA37" s="34">
        <v>100</v>
      </c>
      <c r="BC37" s="57" t="s">
        <v>61</v>
      </c>
      <c r="BD37" s="44">
        <v>24</v>
      </c>
      <c r="BE37" s="34">
        <v>0</v>
      </c>
      <c r="BF37" s="34">
        <v>0</v>
      </c>
      <c r="BG37" s="34">
        <v>0</v>
      </c>
      <c r="BH37" s="34">
        <v>120</v>
      </c>
      <c r="BI37" s="34">
        <v>100</v>
      </c>
      <c r="BK37" s="62" t="s">
        <v>61</v>
      </c>
      <c r="BL37" s="44">
        <v>24</v>
      </c>
      <c r="BM37" s="34">
        <v>0</v>
      </c>
      <c r="BN37" s="34">
        <v>0</v>
      </c>
      <c r="BO37" s="34">
        <v>0</v>
      </c>
      <c r="BP37" s="34">
        <v>120</v>
      </c>
      <c r="BQ37" s="34">
        <v>100</v>
      </c>
    </row>
    <row r="38" spans="1:69">
      <c r="A38" s="50" t="s">
        <v>89</v>
      </c>
      <c r="B38" s="51" t="s">
        <v>0</v>
      </c>
      <c r="C38" s="52" t="s">
        <v>63</v>
      </c>
      <c r="D38" s="52" t="s">
        <v>65</v>
      </c>
      <c r="E38" s="52" t="s">
        <v>97</v>
      </c>
      <c r="G38" s="57" t="s">
        <v>89</v>
      </c>
      <c r="H38" s="44">
        <v>7</v>
      </c>
      <c r="I38" s="34">
        <v>8.5</v>
      </c>
      <c r="J38" s="34">
        <v>8</v>
      </c>
      <c r="K38" s="34">
        <v>0</v>
      </c>
      <c r="L38" s="34">
        <v>140</v>
      </c>
      <c r="M38" s="34">
        <v>100</v>
      </c>
      <c r="O38" s="62" t="s">
        <v>89</v>
      </c>
      <c r="P38" s="44">
        <v>7</v>
      </c>
      <c r="Q38" s="34">
        <v>8.5</v>
      </c>
      <c r="R38" s="34">
        <v>8</v>
      </c>
      <c r="S38" s="34">
        <v>0</v>
      </c>
      <c r="T38" s="34">
        <v>140</v>
      </c>
      <c r="U38" s="34">
        <v>100</v>
      </c>
      <c r="W38" s="57" t="s">
        <v>89</v>
      </c>
      <c r="X38" s="44">
        <v>7</v>
      </c>
      <c r="Y38" s="34">
        <v>8.5</v>
      </c>
      <c r="Z38" s="34">
        <v>8</v>
      </c>
      <c r="AA38" s="34">
        <v>0</v>
      </c>
      <c r="AB38" s="34">
        <v>140</v>
      </c>
      <c r="AC38" s="34">
        <v>100</v>
      </c>
      <c r="AE38" s="62" t="s">
        <v>89</v>
      </c>
      <c r="AF38" s="44">
        <v>7</v>
      </c>
      <c r="AG38" s="34">
        <v>8.5</v>
      </c>
      <c r="AH38" s="34">
        <v>8</v>
      </c>
      <c r="AI38" s="34">
        <v>0</v>
      </c>
      <c r="AJ38" s="34">
        <v>140</v>
      </c>
      <c r="AK38" s="34">
        <v>100</v>
      </c>
      <c r="AM38" s="57" t="s">
        <v>89</v>
      </c>
      <c r="AN38" s="44">
        <v>7</v>
      </c>
      <c r="AO38" s="34">
        <v>8.5</v>
      </c>
      <c r="AP38" s="34">
        <v>8</v>
      </c>
      <c r="AQ38" s="34">
        <v>0</v>
      </c>
      <c r="AR38" s="34">
        <v>140</v>
      </c>
      <c r="AS38" s="34">
        <v>100</v>
      </c>
      <c r="AU38" s="62" t="s">
        <v>89</v>
      </c>
      <c r="AV38" s="44">
        <v>7</v>
      </c>
      <c r="AW38" s="34">
        <v>8.5</v>
      </c>
      <c r="AX38" s="34">
        <v>8</v>
      </c>
      <c r="AY38" s="34">
        <v>0</v>
      </c>
      <c r="AZ38" s="34">
        <v>140</v>
      </c>
      <c r="BA38" s="34">
        <v>100</v>
      </c>
      <c r="BC38" s="57" t="s">
        <v>89</v>
      </c>
      <c r="BD38" s="44">
        <v>7</v>
      </c>
      <c r="BE38" s="34">
        <v>8.5</v>
      </c>
      <c r="BF38" s="34">
        <v>8</v>
      </c>
      <c r="BG38" s="34">
        <v>0</v>
      </c>
      <c r="BH38" s="34">
        <v>140</v>
      </c>
      <c r="BI38" s="34">
        <v>100</v>
      </c>
      <c r="BK38" s="62" t="s">
        <v>89</v>
      </c>
      <c r="BL38" s="44">
        <v>7</v>
      </c>
      <c r="BM38" s="34">
        <v>8.5</v>
      </c>
      <c r="BN38" s="34">
        <v>8</v>
      </c>
      <c r="BO38" s="34">
        <v>0</v>
      </c>
      <c r="BP38" s="34">
        <v>140</v>
      </c>
      <c r="BQ38" s="34">
        <v>100</v>
      </c>
    </row>
    <row r="39" spans="1:69">
      <c r="A39" s="50" t="s">
        <v>3</v>
      </c>
      <c r="B39" s="51" t="s">
        <v>0</v>
      </c>
      <c r="C39" s="52" t="s">
        <v>63</v>
      </c>
      <c r="D39" s="52" t="s">
        <v>97</v>
      </c>
      <c r="E39" s="52" t="s">
        <v>97</v>
      </c>
      <c r="G39" s="57" t="s">
        <v>3</v>
      </c>
      <c r="H39" s="44">
        <v>18.600000000000001</v>
      </c>
      <c r="I39" s="34">
        <v>16</v>
      </c>
      <c r="J39" s="34">
        <v>0</v>
      </c>
      <c r="K39" s="34">
        <v>0</v>
      </c>
      <c r="L39" s="34">
        <v>140</v>
      </c>
      <c r="M39" s="34">
        <v>100</v>
      </c>
      <c r="O39" s="62" t="s">
        <v>3</v>
      </c>
      <c r="P39" s="44">
        <v>18.600000000000001</v>
      </c>
      <c r="Q39" s="34">
        <v>16</v>
      </c>
      <c r="R39" s="34">
        <v>0</v>
      </c>
      <c r="S39" s="34">
        <v>0</v>
      </c>
      <c r="T39" s="34">
        <v>140</v>
      </c>
      <c r="U39" s="34">
        <v>100</v>
      </c>
      <c r="W39" s="57" t="s">
        <v>3</v>
      </c>
      <c r="X39" s="44">
        <v>18.600000000000001</v>
      </c>
      <c r="Y39" s="34">
        <v>16</v>
      </c>
      <c r="Z39" s="34">
        <v>0</v>
      </c>
      <c r="AA39" s="34">
        <v>0</v>
      </c>
      <c r="AB39" s="34">
        <v>140</v>
      </c>
      <c r="AC39" s="34">
        <v>100</v>
      </c>
      <c r="AE39" s="62" t="s">
        <v>3</v>
      </c>
      <c r="AF39" s="44">
        <v>18.600000000000001</v>
      </c>
      <c r="AG39" s="34">
        <v>16</v>
      </c>
      <c r="AH39" s="34">
        <v>0</v>
      </c>
      <c r="AI39" s="34">
        <v>0</v>
      </c>
      <c r="AJ39" s="34">
        <v>140</v>
      </c>
      <c r="AK39" s="34">
        <v>100</v>
      </c>
      <c r="AM39" s="57" t="s">
        <v>3</v>
      </c>
      <c r="AN39" s="44">
        <v>18.600000000000001</v>
      </c>
      <c r="AO39" s="34">
        <v>16</v>
      </c>
      <c r="AP39" s="34">
        <v>0</v>
      </c>
      <c r="AQ39" s="34">
        <v>0</v>
      </c>
      <c r="AR39" s="34">
        <v>140</v>
      </c>
      <c r="AS39" s="34">
        <v>100</v>
      </c>
      <c r="AU39" s="62" t="s">
        <v>3</v>
      </c>
      <c r="AV39" s="44">
        <v>18.600000000000001</v>
      </c>
      <c r="AW39" s="34">
        <v>16</v>
      </c>
      <c r="AX39" s="34">
        <v>0</v>
      </c>
      <c r="AY39" s="34">
        <v>0</v>
      </c>
      <c r="AZ39" s="34">
        <v>140</v>
      </c>
      <c r="BA39" s="34">
        <v>100</v>
      </c>
      <c r="BC39" s="57" t="s">
        <v>3</v>
      </c>
      <c r="BD39" s="44">
        <v>18.600000000000001</v>
      </c>
      <c r="BE39" s="34">
        <v>16</v>
      </c>
      <c r="BF39" s="34">
        <v>0</v>
      </c>
      <c r="BG39" s="34">
        <v>0</v>
      </c>
      <c r="BH39" s="34">
        <v>140</v>
      </c>
      <c r="BI39" s="34">
        <v>100</v>
      </c>
      <c r="BK39" s="62" t="s">
        <v>3</v>
      </c>
      <c r="BL39" s="44">
        <v>18.600000000000001</v>
      </c>
      <c r="BM39" s="34">
        <v>16</v>
      </c>
      <c r="BN39" s="34">
        <v>0</v>
      </c>
      <c r="BO39" s="34">
        <v>0</v>
      </c>
      <c r="BP39" s="34">
        <v>140</v>
      </c>
      <c r="BQ39" s="34">
        <v>100</v>
      </c>
    </row>
    <row r="40" spans="1:69">
      <c r="A40" s="50" t="s">
        <v>60</v>
      </c>
      <c r="B40" s="51" t="s">
        <v>0</v>
      </c>
      <c r="C40" s="52" t="s">
        <v>65</v>
      </c>
      <c r="D40" s="52" t="s">
        <v>97</v>
      </c>
      <c r="E40" s="52" t="s">
        <v>97</v>
      </c>
      <c r="G40" s="57" t="s">
        <v>60</v>
      </c>
      <c r="H40" s="44">
        <v>24</v>
      </c>
      <c r="I40" s="34">
        <v>30</v>
      </c>
      <c r="J40" s="34">
        <v>0</v>
      </c>
      <c r="K40" s="34">
        <v>0</v>
      </c>
      <c r="L40" s="34">
        <v>180</v>
      </c>
      <c r="M40" s="34">
        <v>100</v>
      </c>
      <c r="O40" s="62" t="s">
        <v>60</v>
      </c>
      <c r="P40" s="44">
        <v>24</v>
      </c>
      <c r="Q40" s="34">
        <v>30</v>
      </c>
      <c r="R40" s="34">
        <v>0</v>
      </c>
      <c r="S40" s="34">
        <v>0</v>
      </c>
      <c r="T40" s="34">
        <v>180</v>
      </c>
      <c r="U40" s="34">
        <v>100</v>
      </c>
      <c r="W40" s="57" t="s">
        <v>60</v>
      </c>
      <c r="X40" s="44">
        <v>24</v>
      </c>
      <c r="Y40" s="34">
        <v>30</v>
      </c>
      <c r="Z40" s="34">
        <v>0</v>
      </c>
      <c r="AA40" s="34">
        <v>0</v>
      </c>
      <c r="AB40" s="34">
        <v>180</v>
      </c>
      <c r="AC40" s="34">
        <v>100</v>
      </c>
      <c r="AE40" s="62" t="s">
        <v>60</v>
      </c>
      <c r="AF40" s="44">
        <v>24</v>
      </c>
      <c r="AG40" s="34">
        <v>30</v>
      </c>
      <c r="AH40" s="34">
        <v>0</v>
      </c>
      <c r="AI40" s="34">
        <v>0</v>
      </c>
      <c r="AJ40" s="34">
        <v>180</v>
      </c>
      <c r="AK40" s="34">
        <v>100</v>
      </c>
      <c r="AM40" s="57" t="s">
        <v>60</v>
      </c>
      <c r="AN40" s="44">
        <v>24</v>
      </c>
      <c r="AO40" s="34">
        <v>30</v>
      </c>
      <c r="AP40" s="34">
        <v>0</v>
      </c>
      <c r="AQ40" s="34">
        <v>0</v>
      </c>
      <c r="AR40" s="34">
        <v>180</v>
      </c>
      <c r="AS40" s="34">
        <v>100</v>
      </c>
      <c r="AU40" s="62" t="s">
        <v>60</v>
      </c>
      <c r="AV40" s="44">
        <v>24</v>
      </c>
      <c r="AW40" s="34">
        <v>30</v>
      </c>
      <c r="AX40" s="34">
        <v>0</v>
      </c>
      <c r="AY40" s="34">
        <v>0</v>
      </c>
      <c r="AZ40" s="34">
        <v>180</v>
      </c>
      <c r="BA40" s="34">
        <v>100</v>
      </c>
      <c r="BC40" s="57" t="s">
        <v>60</v>
      </c>
      <c r="BD40" s="44">
        <v>24</v>
      </c>
      <c r="BE40" s="34">
        <v>30</v>
      </c>
      <c r="BF40" s="34">
        <v>0</v>
      </c>
      <c r="BG40" s="34">
        <v>0</v>
      </c>
      <c r="BH40" s="34">
        <v>180</v>
      </c>
      <c r="BI40" s="34">
        <v>100</v>
      </c>
      <c r="BK40" s="62" t="s">
        <v>60</v>
      </c>
      <c r="BL40" s="44">
        <v>24</v>
      </c>
      <c r="BM40" s="34">
        <v>30</v>
      </c>
      <c r="BN40" s="34">
        <v>0</v>
      </c>
      <c r="BO40" s="34">
        <v>0</v>
      </c>
      <c r="BP40" s="34">
        <v>180</v>
      </c>
      <c r="BQ40" s="34">
        <v>100</v>
      </c>
    </row>
    <row r="41" spans="1:69">
      <c r="A41" s="50" t="s">
        <v>24</v>
      </c>
      <c r="B41" s="51" t="s">
        <v>0</v>
      </c>
      <c r="C41" s="52" t="s">
        <v>63</v>
      </c>
      <c r="D41" s="52" t="s">
        <v>97</v>
      </c>
      <c r="E41" s="52" t="s">
        <v>97</v>
      </c>
      <c r="G41" s="57" t="s">
        <v>24</v>
      </c>
      <c r="H41" s="44">
        <v>18.600000000000001</v>
      </c>
      <c r="I41" s="34">
        <v>16</v>
      </c>
      <c r="J41" s="34">
        <v>0</v>
      </c>
      <c r="K41" s="34">
        <v>0</v>
      </c>
      <c r="L41" s="34">
        <v>140</v>
      </c>
      <c r="M41" s="34">
        <v>100</v>
      </c>
      <c r="O41" s="62" t="s">
        <v>24</v>
      </c>
      <c r="P41" s="44">
        <v>18.600000000000001</v>
      </c>
      <c r="Q41" s="34">
        <v>16</v>
      </c>
      <c r="R41" s="34">
        <v>0</v>
      </c>
      <c r="S41" s="34">
        <v>0</v>
      </c>
      <c r="T41" s="34">
        <v>140</v>
      </c>
      <c r="U41" s="34">
        <v>100</v>
      </c>
      <c r="W41" s="57" t="s">
        <v>24</v>
      </c>
      <c r="X41" s="44">
        <v>18.600000000000001</v>
      </c>
      <c r="Y41" s="34">
        <v>16</v>
      </c>
      <c r="Z41" s="34">
        <v>0</v>
      </c>
      <c r="AA41" s="34">
        <v>0</v>
      </c>
      <c r="AB41" s="34">
        <v>140</v>
      </c>
      <c r="AC41" s="34">
        <v>100</v>
      </c>
      <c r="AE41" s="62" t="s">
        <v>24</v>
      </c>
      <c r="AF41" s="44">
        <v>18.600000000000001</v>
      </c>
      <c r="AG41" s="34">
        <v>16</v>
      </c>
      <c r="AH41" s="34">
        <v>0</v>
      </c>
      <c r="AI41" s="34">
        <v>0</v>
      </c>
      <c r="AJ41" s="34">
        <v>140</v>
      </c>
      <c r="AK41" s="34">
        <v>100</v>
      </c>
      <c r="AM41" s="57" t="s">
        <v>24</v>
      </c>
      <c r="AN41" s="44">
        <v>18.600000000000001</v>
      </c>
      <c r="AO41" s="34">
        <v>16</v>
      </c>
      <c r="AP41" s="34">
        <v>0</v>
      </c>
      <c r="AQ41" s="34">
        <v>0</v>
      </c>
      <c r="AR41" s="34">
        <v>140</v>
      </c>
      <c r="AS41" s="34">
        <v>100</v>
      </c>
      <c r="AU41" s="62" t="s">
        <v>24</v>
      </c>
      <c r="AV41" s="44">
        <v>18.600000000000001</v>
      </c>
      <c r="AW41" s="34">
        <v>16</v>
      </c>
      <c r="AX41" s="34">
        <v>0</v>
      </c>
      <c r="AY41" s="34">
        <v>0</v>
      </c>
      <c r="AZ41" s="34">
        <v>140</v>
      </c>
      <c r="BA41" s="34">
        <v>100</v>
      </c>
      <c r="BC41" s="57" t="s">
        <v>24</v>
      </c>
      <c r="BD41" s="44">
        <v>18.600000000000001</v>
      </c>
      <c r="BE41" s="34">
        <v>16</v>
      </c>
      <c r="BF41" s="34">
        <v>0</v>
      </c>
      <c r="BG41" s="34">
        <v>0</v>
      </c>
      <c r="BH41" s="34">
        <v>140</v>
      </c>
      <c r="BI41" s="34">
        <v>100</v>
      </c>
      <c r="BK41" s="62" t="s">
        <v>24</v>
      </c>
      <c r="BL41" s="44">
        <v>18.600000000000001</v>
      </c>
      <c r="BM41" s="34">
        <v>16</v>
      </c>
      <c r="BN41" s="34">
        <v>0</v>
      </c>
      <c r="BO41" s="34">
        <v>0</v>
      </c>
      <c r="BP41" s="34">
        <v>140</v>
      </c>
      <c r="BQ41" s="34">
        <v>100</v>
      </c>
    </row>
    <row r="42" spans="1:69" ht="15">
      <c r="A42" s="50" t="s">
        <v>69</v>
      </c>
      <c r="B42" s="51" t="s">
        <v>70</v>
      </c>
      <c r="C42" s="52" t="s">
        <v>97</v>
      </c>
      <c r="D42" s="52" t="s">
        <v>97</v>
      </c>
      <c r="E42" s="52" t="s">
        <v>97</v>
      </c>
      <c r="G42" s="57" t="s">
        <v>69</v>
      </c>
      <c r="H42" s="44">
        <v>18.600000000000001</v>
      </c>
      <c r="I42" s="34">
        <v>0</v>
      </c>
      <c r="J42" s="34">
        <v>0</v>
      </c>
      <c r="K42" s="34">
        <v>0</v>
      </c>
      <c r="L42" s="34">
        <v>140</v>
      </c>
      <c r="M42" s="34">
        <v>100</v>
      </c>
      <c r="N42" s="17"/>
      <c r="O42" s="62" t="s">
        <v>69</v>
      </c>
      <c r="P42" s="44">
        <v>18.600000000000001</v>
      </c>
      <c r="Q42" s="34">
        <v>0</v>
      </c>
      <c r="R42" s="34">
        <v>0</v>
      </c>
      <c r="S42" s="34">
        <v>0</v>
      </c>
      <c r="T42" s="34">
        <v>140</v>
      </c>
      <c r="U42" s="34">
        <v>100</v>
      </c>
      <c r="W42" s="57" t="s">
        <v>69</v>
      </c>
      <c r="X42" s="44">
        <v>18.600000000000001</v>
      </c>
      <c r="Y42" s="34">
        <v>0</v>
      </c>
      <c r="Z42" s="34">
        <v>0</v>
      </c>
      <c r="AA42" s="34">
        <v>0</v>
      </c>
      <c r="AB42" s="34">
        <v>140</v>
      </c>
      <c r="AC42" s="34">
        <v>100</v>
      </c>
      <c r="AE42" s="62" t="s">
        <v>69</v>
      </c>
      <c r="AF42" s="44">
        <v>18.600000000000001</v>
      </c>
      <c r="AG42" s="34">
        <v>0</v>
      </c>
      <c r="AH42" s="34">
        <v>0</v>
      </c>
      <c r="AI42" s="34">
        <v>0</v>
      </c>
      <c r="AJ42" s="34">
        <v>140</v>
      </c>
      <c r="AK42" s="34">
        <v>100</v>
      </c>
      <c r="AM42" s="57" t="s">
        <v>69</v>
      </c>
      <c r="AN42" s="44">
        <v>18.600000000000001</v>
      </c>
      <c r="AO42" s="34">
        <v>0</v>
      </c>
      <c r="AP42" s="34">
        <v>0</v>
      </c>
      <c r="AQ42" s="34">
        <v>0</v>
      </c>
      <c r="AR42" s="34">
        <v>140</v>
      </c>
      <c r="AS42" s="34">
        <v>100</v>
      </c>
      <c r="AU42" s="62" t="s">
        <v>69</v>
      </c>
      <c r="AV42" s="44">
        <v>18.600000000000001</v>
      </c>
      <c r="AW42" s="34">
        <v>0</v>
      </c>
      <c r="AX42" s="34">
        <v>0</v>
      </c>
      <c r="AY42" s="34">
        <v>0</v>
      </c>
      <c r="AZ42" s="34">
        <v>140</v>
      </c>
      <c r="BA42" s="34">
        <v>100</v>
      </c>
      <c r="BC42" s="57" t="s">
        <v>69</v>
      </c>
      <c r="BD42" s="44">
        <v>18.600000000000001</v>
      </c>
      <c r="BE42" s="34">
        <v>0</v>
      </c>
      <c r="BF42" s="34">
        <v>0</v>
      </c>
      <c r="BG42" s="34">
        <v>0</v>
      </c>
      <c r="BH42" s="34">
        <v>140</v>
      </c>
      <c r="BI42" s="34">
        <v>100</v>
      </c>
      <c r="BK42" s="62" t="s">
        <v>69</v>
      </c>
      <c r="BL42" s="44">
        <v>18.600000000000001</v>
      </c>
      <c r="BM42" s="34">
        <v>0</v>
      </c>
      <c r="BN42" s="34">
        <v>0</v>
      </c>
      <c r="BO42" s="34">
        <v>0</v>
      </c>
      <c r="BP42" s="34">
        <v>140</v>
      </c>
      <c r="BQ42" s="34">
        <v>100</v>
      </c>
    </row>
    <row r="43" spans="1:69">
      <c r="A43" s="50" t="s">
        <v>25</v>
      </c>
      <c r="B43" s="51" t="s">
        <v>0</v>
      </c>
      <c r="C43" s="52" t="s">
        <v>63</v>
      </c>
      <c r="D43" s="52" t="s">
        <v>97</v>
      </c>
      <c r="E43" s="52" t="s">
        <v>97</v>
      </c>
      <c r="G43" s="57" t="s">
        <v>25</v>
      </c>
      <c r="H43" s="44">
        <v>24</v>
      </c>
      <c r="I43" s="34">
        <v>31</v>
      </c>
      <c r="J43" s="34">
        <v>0</v>
      </c>
      <c r="K43" s="34">
        <v>0</v>
      </c>
      <c r="L43" s="34">
        <v>120</v>
      </c>
      <c r="M43" s="34">
        <v>100</v>
      </c>
      <c r="N43" s="41"/>
      <c r="O43" s="62" t="s">
        <v>25</v>
      </c>
      <c r="P43" s="44">
        <v>24</v>
      </c>
      <c r="Q43" s="34">
        <v>31</v>
      </c>
      <c r="R43" s="34">
        <v>0</v>
      </c>
      <c r="S43" s="34">
        <v>0</v>
      </c>
      <c r="T43" s="34">
        <v>120</v>
      </c>
      <c r="U43" s="34">
        <v>100</v>
      </c>
      <c r="W43" s="57" t="s">
        <v>25</v>
      </c>
      <c r="X43" s="44">
        <v>24</v>
      </c>
      <c r="Y43" s="34">
        <v>31</v>
      </c>
      <c r="Z43" s="34">
        <v>0</v>
      </c>
      <c r="AA43" s="34">
        <v>0</v>
      </c>
      <c r="AB43" s="34">
        <v>120</v>
      </c>
      <c r="AC43" s="34">
        <v>100</v>
      </c>
      <c r="AE43" s="62" t="s">
        <v>25</v>
      </c>
      <c r="AF43" s="44">
        <v>24</v>
      </c>
      <c r="AG43" s="34">
        <v>31</v>
      </c>
      <c r="AH43" s="34">
        <v>0</v>
      </c>
      <c r="AI43" s="34">
        <v>0</v>
      </c>
      <c r="AJ43" s="34">
        <v>120</v>
      </c>
      <c r="AK43" s="34">
        <v>100</v>
      </c>
      <c r="AM43" s="57" t="s">
        <v>25</v>
      </c>
      <c r="AN43" s="44">
        <v>24</v>
      </c>
      <c r="AO43" s="34">
        <v>31</v>
      </c>
      <c r="AP43" s="34">
        <v>0</v>
      </c>
      <c r="AQ43" s="34">
        <v>0</v>
      </c>
      <c r="AR43" s="34">
        <v>120</v>
      </c>
      <c r="AS43" s="34">
        <v>100</v>
      </c>
      <c r="AU43" s="62" t="s">
        <v>25</v>
      </c>
      <c r="AV43" s="44">
        <v>24</v>
      </c>
      <c r="AW43" s="34">
        <v>31</v>
      </c>
      <c r="AX43" s="34">
        <v>0</v>
      </c>
      <c r="AY43" s="34">
        <v>0</v>
      </c>
      <c r="AZ43" s="34">
        <v>120</v>
      </c>
      <c r="BA43" s="34">
        <v>100</v>
      </c>
      <c r="BC43" s="57" t="s">
        <v>25</v>
      </c>
      <c r="BD43" s="44">
        <v>24</v>
      </c>
      <c r="BE43" s="34">
        <v>31</v>
      </c>
      <c r="BF43" s="34">
        <v>0</v>
      </c>
      <c r="BG43" s="34">
        <v>0</v>
      </c>
      <c r="BH43" s="34">
        <v>120</v>
      </c>
      <c r="BI43" s="34">
        <v>100</v>
      </c>
      <c r="BK43" s="62" t="s">
        <v>25</v>
      </c>
      <c r="BL43" s="44">
        <v>24</v>
      </c>
      <c r="BM43" s="34">
        <v>31</v>
      </c>
      <c r="BN43" s="34">
        <v>0</v>
      </c>
      <c r="BO43" s="34">
        <v>0</v>
      </c>
      <c r="BP43" s="34">
        <v>120</v>
      </c>
      <c r="BQ43" s="34">
        <v>100</v>
      </c>
    </row>
    <row r="44" spans="1:69">
      <c r="A44" s="50" t="s">
        <v>82</v>
      </c>
      <c r="B44" s="51" t="s">
        <v>0</v>
      </c>
      <c r="C44" s="52" t="s">
        <v>65</v>
      </c>
      <c r="D44" s="52" t="s">
        <v>97</v>
      </c>
      <c r="E44" s="52" t="s">
        <v>97</v>
      </c>
      <c r="G44" s="57" t="s">
        <v>82</v>
      </c>
      <c r="H44" s="44">
        <v>40</v>
      </c>
      <c r="I44" s="34">
        <v>38</v>
      </c>
      <c r="J44" s="34">
        <v>0</v>
      </c>
      <c r="K44" s="34">
        <v>0</v>
      </c>
      <c r="L44" s="34">
        <v>120</v>
      </c>
      <c r="M44" s="34">
        <v>100</v>
      </c>
      <c r="N44" s="41"/>
      <c r="O44" s="62" t="s">
        <v>82</v>
      </c>
      <c r="P44" s="44">
        <v>40</v>
      </c>
      <c r="Q44" s="34">
        <v>38</v>
      </c>
      <c r="R44" s="34">
        <v>0</v>
      </c>
      <c r="S44" s="34">
        <v>0</v>
      </c>
      <c r="T44" s="34">
        <v>120</v>
      </c>
      <c r="U44" s="34">
        <v>100</v>
      </c>
      <c r="W44" s="57" t="s">
        <v>82</v>
      </c>
      <c r="X44" s="44">
        <v>40</v>
      </c>
      <c r="Y44" s="34">
        <v>38</v>
      </c>
      <c r="Z44" s="34">
        <v>0</v>
      </c>
      <c r="AA44" s="34">
        <v>0</v>
      </c>
      <c r="AB44" s="34">
        <v>120</v>
      </c>
      <c r="AC44" s="34">
        <v>100</v>
      </c>
      <c r="AE44" s="62" t="s">
        <v>82</v>
      </c>
      <c r="AF44" s="44">
        <v>40</v>
      </c>
      <c r="AG44" s="34">
        <v>38</v>
      </c>
      <c r="AH44" s="34">
        <v>0</v>
      </c>
      <c r="AI44" s="34">
        <v>0</v>
      </c>
      <c r="AJ44" s="34">
        <v>120</v>
      </c>
      <c r="AK44" s="34">
        <v>100</v>
      </c>
      <c r="AM44" s="57" t="s">
        <v>82</v>
      </c>
      <c r="AN44" s="44">
        <v>40</v>
      </c>
      <c r="AO44" s="34">
        <v>38</v>
      </c>
      <c r="AP44" s="34">
        <v>0</v>
      </c>
      <c r="AQ44" s="34">
        <v>0</v>
      </c>
      <c r="AR44" s="34">
        <v>120</v>
      </c>
      <c r="AS44" s="34">
        <v>100</v>
      </c>
      <c r="AU44" s="62" t="s">
        <v>82</v>
      </c>
      <c r="AV44" s="44">
        <v>40</v>
      </c>
      <c r="AW44" s="34">
        <v>38</v>
      </c>
      <c r="AX44" s="34">
        <v>0</v>
      </c>
      <c r="AY44" s="34">
        <v>0</v>
      </c>
      <c r="AZ44" s="34">
        <v>120</v>
      </c>
      <c r="BA44" s="34">
        <v>100</v>
      </c>
      <c r="BC44" s="57" t="s">
        <v>82</v>
      </c>
      <c r="BD44" s="44">
        <v>40</v>
      </c>
      <c r="BE44" s="34">
        <v>38</v>
      </c>
      <c r="BF44" s="34">
        <v>0</v>
      </c>
      <c r="BG44" s="34">
        <v>0</v>
      </c>
      <c r="BH44" s="34">
        <v>120</v>
      </c>
      <c r="BI44" s="34">
        <v>100</v>
      </c>
      <c r="BK44" s="62" t="s">
        <v>82</v>
      </c>
      <c r="BL44" s="44">
        <v>40</v>
      </c>
      <c r="BM44" s="34">
        <v>38</v>
      </c>
      <c r="BN44" s="34">
        <v>0</v>
      </c>
      <c r="BO44" s="34">
        <v>0</v>
      </c>
      <c r="BP44" s="34">
        <v>120</v>
      </c>
      <c r="BQ44" s="34">
        <v>100</v>
      </c>
    </row>
    <row r="45" spans="1:69">
      <c r="A45" s="50" t="s">
        <v>73</v>
      </c>
      <c r="B45" s="51" t="s">
        <v>63</v>
      </c>
      <c r="C45" s="52" t="s">
        <v>85</v>
      </c>
      <c r="D45" s="52" t="s">
        <v>86</v>
      </c>
      <c r="E45" s="52" t="s">
        <v>97</v>
      </c>
      <c r="G45" s="57" t="s">
        <v>73</v>
      </c>
      <c r="H45" s="44">
        <v>24</v>
      </c>
      <c r="I45" s="34">
        <v>16</v>
      </c>
      <c r="J45" s="34">
        <v>25</v>
      </c>
      <c r="K45" s="34">
        <v>0</v>
      </c>
      <c r="L45" s="34">
        <v>140</v>
      </c>
      <c r="M45" s="34">
        <v>100</v>
      </c>
      <c r="N45" s="41"/>
      <c r="O45" s="62" t="s">
        <v>73</v>
      </c>
      <c r="P45" s="44">
        <v>24</v>
      </c>
      <c r="Q45" s="34">
        <v>16</v>
      </c>
      <c r="R45" s="34">
        <v>25</v>
      </c>
      <c r="S45" s="34">
        <v>0</v>
      </c>
      <c r="T45" s="34">
        <v>140</v>
      </c>
      <c r="U45" s="34">
        <v>100</v>
      </c>
      <c r="W45" s="57" t="s">
        <v>73</v>
      </c>
      <c r="X45" s="44">
        <v>24</v>
      </c>
      <c r="Y45" s="34">
        <v>16</v>
      </c>
      <c r="Z45" s="34">
        <v>25</v>
      </c>
      <c r="AA45" s="34">
        <v>0</v>
      </c>
      <c r="AB45" s="34">
        <v>140</v>
      </c>
      <c r="AC45" s="34">
        <v>100</v>
      </c>
      <c r="AE45" s="62" t="s">
        <v>73</v>
      </c>
      <c r="AF45" s="44">
        <v>24</v>
      </c>
      <c r="AG45" s="34">
        <v>16</v>
      </c>
      <c r="AH45" s="34">
        <v>25</v>
      </c>
      <c r="AI45" s="34">
        <v>0</v>
      </c>
      <c r="AJ45" s="34">
        <v>140</v>
      </c>
      <c r="AK45" s="34">
        <v>100</v>
      </c>
      <c r="AM45" s="57" t="s">
        <v>73</v>
      </c>
      <c r="AN45" s="44">
        <v>24</v>
      </c>
      <c r="AO45" s="34">
        <v>16</v>
      </c>
      <c r="AP45" s="34">
        <v>25</v>
      </c>
      <c r="AQ45" s="34">
        <v>0</v>
      </c>
      <c r="AR45" s="34">
        <v>140</v>
      </c>
      <c r="AS45" s="34">
        <v>100</v>
      </c>
      <c r="AU45" s="62" t="s">
        <v>73</v>
      </c>
      <c r="AV45" s="44">
        <v>24</v>
      </c>
      <c r="AW45" s="34">
        <v>16</v>
      </c>
      <c r="AX45" s="34">
        <v>25</v>
      </c>
      <c r="AY45" s="34">
        <v>0</v>
      </c>
      <c r="AZ45" s="34">
        <v>140</v>
      </c>
      <c r="BA45" s="34">
        <v>100</v>
      </c>
      <c r="BC45" s="57" t="s">
        <v>73</v>
      </c>
      <c r="BD45" s="44">
        <v>24</v>
      </c>
      <c r="BE45" s="34">
        <v>16</v>
      </c>
      <c r="BF45" s="34">
        <v>25</v>
      </c>
      <c r="BG45" s="34">
        <v>0</v>
      </c>
      <c r="BH45" s="34">
        <v>140</v>
      </c>
      <c r="BI45" s="34">
        <v>100</v>
      </c>
      <c r="BK45" s="62" t="s">
        <v>73</v>
      </c>
      <c r="BL45" s="44">
        <v>24</v>
      </c>
      <c r="BM45" s="34">
        <v>16</v>
      </c>
      <c r="BN45" s="34">
        <v>25</v>
      </c>
      <c r="BO45" s="34">
        <v>0</v>
      </c>
      <c r="BP45" s="34">
        <v>140</v>
      </c>
      <c r="BQ45" s="34">
        <v>100</v>
      </c>
    </row>
    <row r="46" spans="1:69">
      <c r="A46" s="50" t="s">
        <v>77</v>
      </c>
      <c r="B46" s="51" t="s">
        <v>0</v>
      </c>
      <c r="C46" s="52" t="s">
        <v>63</v>
      </c>
      <c r="D46" s="52" t="s">
        <v>97</v>
      </c>
      <c r="E46" s="52" t="s">
        <v>97</v>
      </c>
      <c r="G46" s="57" t="s">
        <v>77</v>
      </c>
      <c r="H46" s="44">
        <v>26</v>
      </c>
      <c r="I46" s="34">
        <v>34.5</v>
      </c>
      <c r="J46" s="34">
        <v>0</v>
      </c>
      <c r="K46" s="34">
        <v>0</v>
      </c>
      <c r="L46" s="34">
        <v>120</v>
      </c>
      <c r="M46" s="34">
        <v>100</v>
      </c>
      <c r="O46" s="62" t="s">
        <v>77</v>
      </c>
      <c r="P46" s="44">
        <v>26</v>
      </c>
      <c r="Q46" s="34">
        <v>34.5</v>
      </c>
      <c r="R46" s="34">
        <v>0</v>
      </c>
      <c r="S46" s="34">
        <v>0</v>
      </c>
      <c r="T46" s="34">
        <v>120</v>
      </c>
      <c r="U46" s="34">
        <v>100</v>
      </c>
      <c r="W46" s="57" t="s">
        <v>77</v>
      </c>
      <c r="X46" s="44">
        <v>26</v>
      </c>
      <c r="Y46" s="34">
        <v>34.5</v>
      </c>
      <c r="Z46" s="34">
        <v>0</v>
      </c>
      <c r="AA46" s="34">
        <v>0</v>
      </c>
      <c r="AB46" s="34">
        <v>120</v>
      </c>
      <c r="AC46" s="34">
        <v>100</v>
      </c>
      <c r="AE46" s="62" t="s">
        <v>77</v>
      </c>
      <c r="AF46" s="44">
        <v>26</v>
      </c>
      <c r="AG46" s="34">
        <v>34.5</v>
      </c>
      <c r="AH46" s="34">
        <v>0</v>
      </c>
      <c r="AI46" s="34">
        <v>0</v>
      </c>
      <c r="AJ46" s="34">
        <v>120</v>
      </c>
      <c r="AK46" s="34">
        <v>100</v>
      </c>
      <c r="AM46" s="57" t="s">
        <v>77</v>
      </c>
      <c r="AN46" s="44">
        <v>26</v>
      </c>
      <c r="AO46" s="34">
        <v>34.5</v>
      </c>
      <c r="AP46" s="34">
        <v>0</v>
      </c>
      <c r="AQ46" s="34">
        <v>0</v>
      </c>
      <c r="AR46" s="34">
        <v>120</v>
      </c>
      <c r="AS46" s="34">
        <v>100</v>
      </c>
      <c r="AU46" s="62" t="s">
        <v>77</v>
      </c>
      <c r="AV46" s="44">
        <v>26</v>
      </c>
      <c r="AW46" s="34">
        <v>34.5</v>
      </c>
      <c r="AX46" s="34">
        <v>0</v>
      </c>
      <c r="AY46" s="34">
        <v>0</v>
      </c>
      <c r="AZ46" s="34">
        <v>120</v>
      </c>
      <c r="BA46" s="34">
        <v>100</v>
      </c>
      <c r="BC46" s="57" t="s">
        <v>77</v>
      </c>
      <c r="BD46" s="44">
        <v>26</v>
      </c>
      <c r="BE46" s="34">
        <v>34.5</v>
      </c>
      <c r="BF46" s="34">
        <v>0</v>
      </c>
      <c r="BG46" s="34">
        <v>0</v>
      </c>
      <c r="BH46" s="34">
        <v>120</v>
      </c>
      <c r="BI46" s="34">
        <v>100</v>
      </c>
      <c r="BK46" s="62" t="s">
        <v>77</v>
      </c>
      <c r="BL46" s="44">
        <v>26</v>
      </c>
      <c r="BM46" s="34">
        <v>34.5</v>
      </c>
      <c r="BN46" s="34">
        <v>0</v>
      </c>
      <c r="BO46" s="34">
        <v>0</v>
      </c>
      <c r="BP46" s="34">
        <v>120</v>
      </c>
      <c r="BQ46" s="34">
        <v>100</v>
      </c>
    </row>
    <row r="47" spans="1:69">
      <c r="A47" s="50" t="s">
        <v>28</v>
      </c>
      <c r="B47" s="51" t="s">
        <v>0</v>
      </c>
      <c r="C47" s="52" t="s">
        <v>63</v>
      </c>
      <c r="D47" s="52" t="s">
        <v>65</v>
      </c>
      <c r="E47" s="52" t="s">
        <v>97</v>
      </c>
      <c r="G47" s="57" t="s">
        <v>28</v>
      </c>
      <c r="H47" s="44">
        <v>7</v>
      </c>
      <c r="I47" s="34">
        <v>8.5</v>
      </c>
      <c r="J47" s="34">
        <v>9</v>
      </c>
      <c r="K47" s="34">
        <v>0</v>
      </c>
      <c r="L47" s="34">
        <v>140</v>
      </c>
      <c r="M47" s="34">
        <v>100</v>
      </c>
      <c r="O47" s="62" t="s">
        <v>28</v>
      </c>
      <c r="P47" s="44">
        <v>7</v>
      </c>
      <c r="Q47" s="34">
        <v>8.5</v>
      </c>
      <c r="R47" s="34">
        <v>9</v>
      </c>
      <c r="S47" s="34">
        <v>0</v>
      </c>
      <c r="T47" s="34">
        <v>140</v>
      </c>
      <c r="U47" s="34">
        <v>100</v>
      </c>
      <c r="W47" s="57" t="s">
        <v>28</v>
      </c>
      <c r="X47" s="44">
        <v>7</v>
      </c>
      <c r="Y47" s="34">
        <v>8.5</v>
      </c>
      <c r="Z47" s="34">
        <v>9</v>
      </c>
      <c r="AA47" s="34">
        <v>0</v>
      </c>
      <c r="AB47" s="34">
        <v>140</v>
      </c>
      <c r="AC47" s="34">
        <v>100</v>
      </c>
      <c r="AE47" s="62" t="s">
        <v>28</v>
      </c>
      <c r="AF47" s="44">
        <v>7</v>
      </c>
      <c r="AG47" s="34">
        <v>8.5</v>
      </c>
      <c r="AH47" s="34">
        <v>9</v>
      </c>
      <c r="AI47" s="34">
        <v>0</v>
      </c>
      <c r="AJ47" s="34">
        <v>140</v>
      </c>
      <c r="AK47" s="34">
        <v>100</v>
      </c>
      <c r="AM47" s="57" t="s">
        <v>28</v>
      </c>
      <c r="AN47" s="44">
        <v>7</v>
      </c>
      <c r="AO47" s="34">
        <v>8.5</v>
      </c>
      <c r="AP47" s="34">
        <v>9</v>
      </c>
      <c r="AQ47" s="34">
        <v>0</v>
      </c>
      <c r="AR47" s="34">
        <v>140</v>
      </c>
      <c r="AS47" s="34">
        <v>100</v>
      </c>
      <c r="AU47" s="62" t="s">
        <v>28</v>
      </c>
      <c r="AV47" s="44">
        <v>7</v>
      </c>
      <c r="AW47" s="34">
        <v>8.5</v>
      </c>
      <c r="AX47" s="34">
        <v>9</v>
      </c>
      <c r="AY47" s="34">
        <v>0</v>
      </c>
      <c r="AZ47" s="34">
        <v>140</v>
      </c>
      <c r="BA47" s="34">
        <v>100</v>
      </c>
      <c r="BC47" s="57" t="s">
        <v>28</v>
      </c>
      <c r="BD47" s="44">
        <v>7</v>
      </c>
      <c r="BE47" s="34">
        <v>8.5</v>
      </c>
      <c r="BF47" s="34">
        <v>9</v>
      </c>
      <c r="BG47" s="34">
        <v>0</v>
      </c>
      <c r="BH47" s="34">
        <v>140</v>
      </c>
      <c r="BI47" s="34">
        <v>100</v>
      </c>
      <c r="BK47" s="62" t="s">
        <v>28</v>
      </c>
      <c r="BL47" s="44">
        <v>7</v>
      </c>
      <c r="BM47" s="34">
        <v>8.5</v>
      </c>
      <c r="BN47" s="34">
        <v>9</v>
      </c>
      <c r="BO47" s="34">
        <v>0</v>
      </c>
      <c r="BP47" s="34">
        <v>140</v>
      </c>
      <c r="BQ47" s="34">
        <v>100</v>
      </c>
    </row>
    <row r="48" spans="1:69">
      <c r="A48" s="50" t="s">
        <v>35</v>
      </c>
      <c r="B48" s="51" t="s">
        <v>0</v>
      </c>
      <c r="C48" s="52" t="s">
        <v>63</v>
      </c>
      <c r="D48" s="52" t="s">
        <v>97</v>
      </c>
      <c r="E48" s="52" t="s">
        <v>97</v>
      </c>
      <c r="G48" s="57" t="s">
        <v>35</v>
      </c>
      <c r="H48" s="44">
        <v>24</v>
      </c>
      <c r="I48" s="34">
        <v>31</v>
      </c>
      <c r="J48" s="34">
        <v>0</v>
      </c>
      <c r="K48" s="34">
        <v>0</v>
      </c>
      <c r="L48" s="34">
        <v>180</v>
      </c>
      <c r="M48" s="34">
        <v>100</v>
      </c>
      <c r="O48" s="62" t="s">
        <v>35</v>
      </c>
      <c r="P48" s="44">
        <v>24</v>
      </c>
      <c r="Q48" s="34">
        <v>31</v>
      </c>
      <c r="R48" s="34">
        <v>0</v>
      </c>
      <c r="S48" s="34">
        <v>0</v>
      </c>
      <c r="T48" s="34">
        <v>180</v>
      </c>
      <c r="U48" s="34">
        <v>100</v>
      </c>
      <c r="W48" s="57" t="s">
        <v>35</v>
      </c>
      <c r="X48" s="44">
        <v>24</v>
      </c>
      <c r="Y48" s="34">
        <v>31</v>
      </c>
      <c r="Z48" s="34">
        <v>0</v>
      </c>
      <c r="AA48" s="34">
        <v>0</v>
      </c>
      <c r="AB48" s="34">
        <v>180</v>
      </c>
      <c r="AC48" s="34">
        <v>100</v>
      </c>
      <c r="AE48" s="62" t="s">
        <v>35</v>
      </c>
      <c r="AF48" s="44">
        <v>24</v>
      </c>
      <c r="AG48" s="34">
        <v>31</v>
      </c>
      <c r="AH48" s="34">
        <v>0</v>
      </c>
      <c r="AI48" s="34">
        <v>0</v>
      </c>
      <c r="AJ48" s="34">
        <v>180</v>
      </c>
      <c r="AK48" s="34">
        <v>100</v>
      </c>
      <c r="AM48" s="57" t="s">
        <v>35</v>
      </c>
      <c r="AN48" s="44">
        <v>24</v>
      </c>
      <c r="AO48" s="34">
        <v>31</v>
      </c>
      <c r="AP48" s="34">
        <v>0</v>
      </c>
      <c r="AQ48" s="34">
        <v>0</v>
      </c>
      <c r="AR48" s="34">
        <v>180</v>
      </c>
      <c r="AS48" s="34">
        <v>100</v>
      </c>
      <c r="AU48" s="62" t="s">
        <v>35</v>
      </c>
      <c r="AV48" s="44">
        <v>24</v>
      </c>
      <c r="AW48" s="34">
        <v>31</v>
      </c>
      <c r="AX48" s="34">
        <v>0</v>
      </c>
      <c r="AY48" s="34">
        <v>0</v>
      </c>
      <c r="AZ48" s="34">
        <v>180</v>
      </c>
      <c r="BA48" s="34">
        <v>100</v>
      </c>
      <c r="BC48" s="57" t="s">
        <v>35</v>
      </c>
      <c r="BD48" s="44">
        <v>24</v>
      </c>
      <c r="BE48" s="34">
        <v>31</v>
      </c>
      <c r="BF48" s="34">
        <v>0</v>
      </c>
      <c r="BG48" s="34">
        <v>0</v>
      </c>
      <c r="BH48" s="34">
        <v>180</v>
      </c>
      <c r="BI48" s="34">
        <v>100</v>
      </c>
      <c r="BK48" s="62" t="s">
        <v>35</v>
      </c>
      <c r="BL48" s="44">
        <v>24</v>
      </c>
      <c r="BM48" s="34">
        <v>31</v>
      </c>
      <c r="BN48" s="34">
        <v>0</v>
      </c>
      <c r="BO48" s="34">
        <v>0</v>
      </c>
      <c r="BP48" s="34">
        <v>180</v>
      </c>
      <c r="BQ48" s="34">
        <v>100</v>
      </c>
    </row>
    <row r="49" spans="1:69">
      <c r="A49" s="50" t="s">
        <v>81</v>
      </c>
      <c r="B49" s="51" t="s">
        <v>0</v>
      </c>
      <c r="C49" s="52" t="s">
        <v>97</v>
      </c>
      <c r="D49" s="52" t="s">
        <v>97</v>
      </c>
      <c r="E49" s="52" t="s">
        <v>97</v>
      </c>
      <c r="G49" s="57" t="s">
        <v>81</v>
      </c>
      <c r="H49" s="44">
        <v>26</v>
      </c>
      <c r="I49" s="34">
        <v>0</v>
      </c>
      <c r="J49" s="34">
        <v>0</v>
      </c>
      <c r="K49" s="34">
        <v>0</v>
      </c>
      <c r="L49" s="34">
        <v>180</v>
      </c>
      <c r="M49" s="34">
        <v>100</v>
      </c>
      <c r="O49" s="62" t="s">
        <v>81</v>
      </c>
      <c r="P49" s="44">
        <v>26</v>
      </c>
      <c r="Q49" s="34">
        <v>0</v>
      </c>
      <c r="R49" s="34">
        <v>0</v>
      </c>
      <c r="S49" s="34">
        <v>0</v>
      </c>
      <c r="T49" s="34">
        <v>180</v>
      </c>
      <c r="U49" s="34">
        <v>100</v>
      </c>
      <c r="W49" s="57" t="s">
        <v>81</v>
      </c>
      <c r="X49" s="44">
        <v>26</v>
      </c>
      <c r="Y49" s="34">
        <v>0</v>
      </c>
      <c r="Z49" s="34">
        <v>0</v>
      </c>
      <c r="AA49" s="34">
        <v>0</v>
      </c>
      <c r="AB49" s="34">
        <v>180</v>
      </c>
      <c r="AC49" s="34">
        <v>100</v>
      </c>
      <c r="AE49" s="62" t="s">
        <v>81</v>
      </c>
      <c r="AF49" s="44">
        <v>26</v>
      </c>
      <c r="AG49" s="34">
        <v>0</v>
      </c>
      <c r="AH49" s="34">
        <v>0</v>
      </c>
      <c r="AI49" s="34">
        <v>0</v>
      </c>
      <c r="AJ49" s="34">
        <v>180</v>
      </c>
      <c r="AK49" s="34">
        <v>100</v>
      </c>
      <c r="AM49" s="57" t="s">
        <v>81</v>
      </c>
      <c r="AN49" s="44">
        <v>26</v>
      </c>
      <c r="AO49" s="34">
        <v>0</v>
      </c>
      <c r="AP49" s="34">
        <v>0</v>
      </c>
      <c r="AQ49" s="34">
        <v>0</v>
      </c>
      <c r="AR49" s="34">
        <v>180</v>
      </c>
      <c r="AS49" s="34">
        <v>100</v>
      </c>
      <c r="AU49" s="62" t="s">
        <v>81</v>
      </c>
      <c r="AV49" s="44">
        <v>26</v>
      </c>
      <c r="AW49" s="34">
        <v>0</v>
      </c>
      <c r="AX49" s="34">
        <v>0</v>
      </c>
      <c r="AY49" s="34">
        <v>0</v>
      </c>
      <c r="AZ49" s="34">
        <v>180</v>
      </c>
      <c r="BA49" s="34">
        <v>100</v>
      </c>
      <c r="BC49" s="57" t="s">
        <v>81</v>
      </c>
      <c r="BD49" s="44">
        <v>26</v>
      </c>
      <c r="BE49" s="34">
        <v>0</v>
      </c>
      <c r="BF49" s="34">
        <v>0</v>
      </c>
      <c r="BG49" s="34">
        <v>0</v>
      </c>
      <c r="BH49" s="34">
        <v>180</v>
      </c>
      <c r="BI49" s="34">
        <v>100</v>
      </c>
      <c r="BK49" s="62" t="s">
        <v>81</v>
      </c>
      <c r="BL49" s="44">
        <v>26</v>
      </c>
      <c r="BM49" s="34">
        <v>0</v>
      </c>
      <c r="BN49" s="34">
        <v>0</v>
      </c>
      <c r="BO49" s="34">
        <v>0</v>
      </c>
      <c r="BP49" s="34">
        <v>180</v>
      </c>
      <c r="BQ49" s="34">
        <v>100</v>
      </c>
    </row>
    <row r="50" spans="1:69" ht="15" thickBot="1">
      <c r="A50" s="53" t="s">
        <v>79</v>
      </c>
      <c r="B50" s="51" t="s">
        <v>0</v>
      </c>
      <c r="C50" s="52" t="s">
        <v>97</v>
      </c>
      <c r="D50" s="52" t="s">
        <v>97</v>
      </c>
      <c r="E50" s="52" t="s">
        <v>97</v>
      </c>
      <c r="G50" s="58" t="s">
        <v>79</v>
      </c>
      <c r="H50" s="44">
        <v>10</v>
      </c>
      <c r="I50" s="34">
        <v>0</v>
      </c>
      <c r="J50" s="34">
        <v>0</v>
      </c>
      <c r="K50" s="34">
        <v>0</v>
      </c>
      <c r="L50" s="34">
        <v>140</v>
      </c>
      <c r="M50" s="34">
        <v>100</v>
      </c>
      <c r="O50" s="63" t="s">
        <v>79</v>
      </c>
      <c r="P50" s="44">
        <v>10</v>
      </c>
      <c r="Q50" s="34">
        <v>0</v>
      </c>
      <c r="R50" s="34">
        <v>0</v>
      </c>
      <c r="S50" s="34">
        <v>0</v>
      </c>
      <c r="T50" s="34">
        <v>140</v>
      </c>
      <c r="U50" s="34">
        <v>100</v>
      </c>
      <c r="W50" s="58" t="s">
        <v>79</v>
      </c>
      <c r="X50" s="44">
        <v>10</v>
      </c>
      <c r="Y50" s="34">
        <v>0</v>
      </c>
      <c r="Z50" s="34">
        <v>0</v>
      </c>
      <c r="AA50" s="34">
        <v>0</v>
      </c>
      <c r="AB50" s="34">
        <v>140</v>
      </c>
      <c r="AC50" s="34">
        <v>100</v>
      </c>
      <c r="AE50" s="63" t="s">
        <v>79</v>
      </c>
      <c r="AF50" s="44">
        <v>10</v>
      </c>
      <c r="AG50" s="34">
        <v>0</v>
      </c>
      <c r="AH50" s="34">
        <v>0</v>
      </c>
      <c r="AI50" s="34">
        <v>0</v>
      </c>
      <c r="AJ50" s="34">
        <v>140</v>
      </c>
      <c r="AK50" s="34">
        <v>100</v>
      </c>
      <c r="AM50" s="58" t="s">
        <v>79</v>
      </c>
      <c r="AN50" s="44">
        <v>10</v>
      </c>
      <c r="AO50" s="34">
        <v>0</v>
      </c>
      <c r="AP50" s="34">
        <v>0</v>
      </c>
      <c r="AQ50" s="34">
        <v>0</v>
      </c>
      <c r="AR50" s="34">
        <v>140</v>
      </c>
      <c r="AS50" s="34">
        <v>100</v>
      </c>
      <c r="AU50" s="63" t="s">
        <v>79</v>
      </c>
      <c r="AV50" s="44">
        <v>10</v>
      </c>
      <c r="AW50" s="34">
        <v>0</v>
      </c>
      <c r="AX50" s="34">
        <v>0</v>
      </c>
      <c r="AY50" s="34">
        <v>0</v>
      </c>
      <c r="AZ50" s="34">
        <v>140</v>
      </c>
      <c r="BA50" s="34">
        <v>100</v>
      </c>
      <c r="BC50" s="58" t="s">
        <v>79</v>
      </c>
      <c r="BD50" s="44">
        <v>10</v>
      </c>
      <c r="BE50" s="34">
        <v>0</v>
      </c>
      <c r="BF50" s="34">
        <v>0</v>
      </c>
      <c r="BG50" s="34">
        <v>0</v>
      </c>
      <c r="BH50" s="34">
        <v>140</v>
      </c>
      <c r="BI50" s="34">
        <v>100</v>
      </c>
      <c r="BK50" s="63" t="s">
        <v>79</v>
      </c>
      <c r="BL50" s="44">
        <v>10</v>
      </c>
      <c r="BM50" s="34">
        <v>0</v>
      </c>
      <c r="BN50" s="34">
        <v>0</v>
      </c>
      <c r="BO50" s="34">
        <v>0</v>
      </c>
      <c r="BP50" s="34">
        <v>140</v>
      </c>
      <c r="BQ50" s="34">
        <v>100</v>
      </c>
    </row>
    <row r="52" spans="1:69" ht="15">
      <c r="B52" s="110" t="s">
        <v>39</v>
      </c>
      <c r="C52" s="111"/>
    </row>
    <row r="53" spans="1:69" ht="15">
      <c r="A53" s="35" t="s">
        <v>53</v>
      </c>
      <c r="B53" s="15" t="s">
        <v>40</v>
      </c>
      <c r="C53" s="15" t="s">
        <v>41</v>
      </c>
    </row>
    <row r="54" spans="1:69">
      <c r="A54" s="34" t="s">
        <v>54</v>
      </c>
      <c r="B54" s="16">
        <v>8.4799999999999997E-3</v>
      </c>
      <c r="C54" s="16">
        <v>1.9777400000000001</v>
      </c>
    </row>
    <row r="55" spans="1:69">
      <c r="A55" s="34" t="s">
        <v>55</v>
      </c>
      <c r="B55" s="16">
        <v>3.0999999999999999E-3</v>
      </c>
      <c r="C55" s="16">
        <v>2.1995</v>
      </c>
    </row>
    <row r="56" spans="1:69">
      <c r="A56" s="34" t="s">
        <v>56</v>
      </c>
      <c r="B56" s="16">
        <v>1.686E-2</v>
      </c>
      <c r="C56" s="16">
        <v>1.87523</v>
      </c>
    </row>
  </sheetData>
  <mergeCells count="19">
    <mergeCell ref="BK1:BQ1"/>
    <mergeCell ref="BL2:BO2"/>
    <mergeCell ref="A1:E1"/>
    <mergeCell ref="AM1:AS1"/>
    <mergeCell ref="AN2:AQ2"/>
    <mergeCell ref="AU1:BA1"/>
    <mergeCell ref="AV2:AY2"/>
    <mergeCell ref="BC1:BI1"/>
    <mergeCell ref="BD2:BG2"/>
    <mergeCell ref="O1:U1"/>
    <mergeCell ref="P2:S2"/>
    <mergeCell ref="W1:AC1"/>
    <mergeCell ref="X2:AA2"/>
    <mergeCell ref="AE1:AK1"/>
    <mergeCell ref="AF2:AI2"/>
    <mergeCell ref="B52:C52"/>
    <mergeCell ref="H2:K2"/>
    <mergeCell ref="G1:M1"/>
    <mergeCell ref="B2:E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0.59999389629810485"/>
  </sheetPr>
  <dimension ref="A1:Z69"/>
  <sheetViews>
    <sheetView tabSelected="1" topLeftCell="A40" zoomScaleNormal="100" zoomScaleSheetLayoutView="98" workbookViewId="0">
      <selection activeCell="A69" sqref="A69:D69"/>
    </sheetView>
  </sheetViews>
  <sheetFormatPr baseColWidth="10" defaultColWidth="11.5" defaultRowHeight="14.25"/>
  <cols>
    <col min="1" max="1" width="10.5" style="1" bestFit="1" customWidth="1"/>
    <col min="2" max="2" width="21.875" style="1" bestFit="1" customWidth="1"/>
    <col min="3" max="3" width="8.875" style="12" bestFit="1" customWidth="1"/>
    <col min="4" max="4" width="22.5" style="1" customWidth="1"/>
    <col min="5" max="5" width="11" style="1" bestFit="1" customWidth="1"/>
    <col min="6" max="6" width="4" style="1" bestFit="1" customWidth="1"/>
    <col min="7" max="7" width="4.875" style="1" bestFit="1" customWidth="1"/>
    <col min="8" max="8" width="14.125" style="1" bestFit="1" customWidth="1"/>
    <col min="9" max="9" width="15.375" style="9" bestFit="1" customWidth="1"/>
    <col min="10" max="10" width="12.125" style="1" bestFit="1" customWidth="1"/>
    <col min="11" max="11" width="16.625" style="1" bestFit="1" customWidth="1"/>
    <col min="12" max="26" width="11.5" style="14"/>
  </cols>
  <sheetData>
    <row r="1" spans="1:11" ht="15">
      <c r="A1" s="8" t="s">
        <v>29</v>
      </c>
      <c r="B1" s="8" t="s">
        <v>13</v>
      </c>
      <c r="C1" s="13" t="s">
        <v>30</v>
      </c>
      <c r="D1" s="8" t="s">
        <v>14</v>
      </c>
      <c r="E1" s="8" t="s">
        <v>27</v>
      </c>
      <c r="F1" s="8" t="s">
        <v>15</v>
      </c>
      <c r="G1" s="8" t="s">
        <v>7</v>
      </c>
      <c r="H1" s="8" t="s">
        <v>16</v>
      </c>
      <c r="I1" s="8" t="s">
        <v>17</v>
      </c>
      <c r="J1" s="8" t="s">
        <v>12</v>
      </c>
      <c r="K1" s="8" t="s">
        <v>38</v>
      </c>
    </row>
    <row r="2" spans="1:11">
      <c r="A2" s="67">
        <v>45725</v>
      </c>
      <c r="B2" s="68" t="s">
        <v>76</v>
      </c>
      <c r="C2" s="69"/>
      <c r="D2" s="68" t="s">
        <v>2</v>
      </c>
      <c r="E2" s="68" t="s">
        <v>99</v>
      </c>
      <c r="F2" s="68">
        <v>70</v>
      </c>
      <c r="G2" s="68">
        <v>30</v>
      </c>
      <c r="H2" s="68">
        <v>1</v>
      </c>
      <c r="I2" s="70">
        <v>0</v>
      </c>
      <c r="J2" s="68">
        <v>3.54</v>
      </c>
      <c r="K2" s="68"/>
    </row>
    <row r="3" spans="1:11">
      <c r="A3" s="67">
        <v>45725</v>
      </c>
      <c r="B3" s="68" t="s">
        <v>76</v>
      </c>
      <c r="C3" s="69"/>
      <c r="D3" s="68" t="s">
        <v>2</v>
      </c>
      <c r="E3" s="68" t="s">
        <v>100</v>
      </c>
      <c r="F3" s="68">
        <v>70</v>
      </c>
      <c r="G3" s="68">
        <v>60</v>
      </c>
      <c r="H3" s="68">
        <v>1</v>
      </c>
      <c r="I3" s="70">
        <v>0</v>
      </c>
      <c r="J3" s="68">
        <v>6.67</v>
      </c>
      <c r="K3" s="68" t="s">
        <v>101</v>
      </c>
    </row>
    <row r="4" spans="1:11">
      <c r="A4" s="71">
        <v>45725</v>
      </c>
      <c r="B4" s="72" t="s">
        <v>75</v>
      </c>
      <c r="C4" s="73"/>
      <c r="D4" s="72" t="s">
        <v>2</v>
      </c>
      <c r="E4" s="72" t="s">
        <v>99</v>
      </c>
      <c r="F4" s="72">
        <v>70</v>
      </c>
      <c r="G4" s="72">
        <v>30</v>
      </c>
      <c r="H4" s="72">
        <v>1</v>
      </c>
      <c r="I4" s="74">
        <v>0</v>
      </c>
      <c r="J4" s="72">
        <v>2.9</v>
      </c>
      <c r="K4" s="72"/>
    </row>
    <row r="5" spans="1:11">
      <c r="A5" s="71">
        <v>45725</v>
      </c>
      <c r="B5" s="72" t="s">
        <v>75</v>
      </c>
      <c r="C5" s="73"/>
      <c r="D5" s="72" t="s">
        <v>2</v>
      </c>
      <c r="E5" s="72" t="s">
        <v>100</v>
      </c>
      <c r="F5" s="72">
        <v>70</v>
      </c>
      <c r="G5" s="72">
        <v>60</v>
      </c>
      <c r="H5" s="72">
        <v>1</v>
      </c>
      <c r="I5" s="74">
        <v>0</v>
      </c>
      <c r="J5" s="72">
        <v>7.4</v>
      </c>
      <c r="K5" s="72" t="s">
        <v>102</v>
      </c>
    </row>
    <row r="6" spans="1:11">
      <c r="A6" s="67">
        <v>45725</v>
      </c>
      <c r="B6" s="68" t="s">
        <v>61</v>
      </c>
      <c r="C6" s="69"/>
      <c r="D6" s="68" t="s">
        <v>2</v>
      </c>
      <c r="E6" s="68" t="s">
        <v>99</v>
      </c>
      <c r="F6" s="68">
        <v>70</v>
      </c>
      <c r="G6" s="68">
        <v>30</v>
      </c>
      <c r="H6" s="68">
        <v>1</v>
      </c>
      <c r="I6" s="70">
        <v>0</v>
      </c>
      <c r="J6" s="68">
        <v>2.75</v>
      </c>
      <c r="K6" s="68"/>
    </row>
    <row r="7" spans="1:11">
      <c r="A7" s="67">
        <v>45725</v>
      </c>
      <c r="B7" s="68" t="s">
        <v>61</v>
      </c>
      <c r="C7" s="69"/>
      <c r="D7" s="68" t="s">
        <v>2</v>
      </c>
      <c r="E7" s="68" t="s">
        <v>100</v>
      </c>
      <c r="F7" s="68">
        <v>70</v>
      </c>
      <c r="G7" s="68">
        <v>60</v>
      </c>
      <c r="H7" s="68">
        <v>2</v>
      </c>
      <c r="I7" s="70">
        <v>0</v>
      </c>
      <c r="J7" s="68">
        <v>6.35</v>
      </c>
      <c r="K7" s="68" t="s">
        <v>103</v>
      </c>
    </row>
    <row r="8" spans="1:11">
      <c r="A8" s="71">
        <v>45725</v>
      </c>
      <c r="B8" s="72" t="s">
        <v>24</v>
      </c>
      <c r="C8" s="73"/>
      <c r="D8" s="72" t="s">
        <v>2</v>
      </c>
      <c r="E8" s="72" t="s">
        <v>99</v>
      </c>
      <c r="F8" s="72">
        <v>60</v>
      </c>
      <c r="G8" s="72">
        <v>10</v>
      </c>
      <c r="H8" s="72">
        <v>1</v>
      </c>
      <c r="I8" s="74">
        <v>0</v>
      </c>
      <c r="J8" s="72">
        <v>0.59</v>
      </c>
      <c r="K8" s="72"/>
    </row>
    <row r="9" spans="1:11">
      <c r="A9" s="71">
        <v>45725</v>
      </c>
      <c r="B9" s="72" t="s">
        <v>24</v>
      </c>
      <c r="C9" s="73"/>
      <c r="D9" s="72" t="s">
        <v>2</v>
      </c>
      <c r="E9" s="72" t="s">
        <v>100</v>
      </c>
      <c r="F9" s="72">
        <v>60</v>
      </c>
      <c r="G9" s="72">
        <v>10</v>
      </c>
      <c r="H9" s="72">
        <v>2</v>
      </c>
      <c r="I9" s="74">
        <v>0</v>
      </c>
      <c r="J9" s="72">
        <v>1.1100000000000001</v>
      </c>
      <c r="K9" s="72" t="s">
        <v>104</v>
      </c>
    </row>
    <row r="10" spans="1:11">
      <c r="A10" s="67">
        <v>45725</v>
      </c>
      <c r="B10" s="68" t="s">
        <v>24</v>
      </c>
      <c r="C10" s="69"/>
      <c r="D10" s="68" t="s">
        <v>2</v>
      </c>
      <c r="E10" s="68" t="s">
        <v>99</v>
      </c>
      <c r="F10" s="68">
        <v>60</v>
      </c>
      <c r="G10" s="68">
        <v>10</v>
      </c>
      <c r="H10" s="68">
        <v>1</v>
      </c>
      <c r="I10" s="70">
        <v>0</v>
      </c>
      <c r="J10" s="68">
        <v>0.59</v>
      </c>
      <c r="K10" s="68"/>
    </row>
    <row r="11" spans="1:11">
      <c r="A11" s="67">
        <v>45725</v>
      </c>
      <c r="B11" s="68" t="s">
        <v>24</v>
      </c>
      <c r="C11" s="69"/>
      <c r="D11" s="68" t="s">
        <v>2</v>
      </c>
      <c r="E11" s="68" t="s">
        <v>100</v>
      </c>
      <c r="F11" s="68">
        <v>60</v>
      </c>
      <c r="G11" s="68">
        <v>10</v>
      </c>
      <c r="H11" s="68">
        <v>2</v>
      </c>
      <c r="I11" s="70">
        <v>0</v>
      </c>
      <c r="J11" s="68">
        <v>1.1100000000000001</v>
      </c>
      <c r="K11" s="68" t="s">
        <v>104</v>
      </c>
    </row>
    <row r="12" spans="1:11">
      <c r="A12" s="71">
        <v>45725</v>
      </c>
      <c r="B12" s="72" t="s">
        <v>90</v>
      </c>
      <c r="C12" s="73" t="s">
        <v>133</v>
      </c>
      <c r="D12" s="72" t="s">
        <v>1</v>
      </c>
      <c r="E12" s="72" t="s">
        <v>0</v>
      </c>
      <c r="F12" s="72">
        <v>60</v>
      </c>
      <c r="G12" s="72">
        <v>20</v>
      </c>
      <c r="H12" s="72">
        <v>1</v>
      </c>
      <c r="I12" s="74">
        <v>0</v>
      </c>
      <c r="J12" s="72">
        <v>0.88</v>
      </c>
      <c r="K12" s="72"/>
    </row>
    <row r="13" spans="1:11">
      <c r="A13" s="71">
        <v>45725</v>
      </c>
      <c r="B13" s="72" t="s">
        <v>90</v>
      </c>
      <c r="C13" s="73" t="s">
        <v>133</v>
      </c>
      <c r="D13" s="72" t="s">
        <v>1</v>
      </c>
      <c r="E13" s="72" t="s">
        <v>99</v>
      </c>
      <c r="F13" s="72">
        <v>60</v>
      </c>
      <c r="G13" s="72">
        <v>20</v>
      </c>
      <c r="H13" s="72">
        <v>1</v>
      </c>
      <c r="I13" s="74">
        <v>0</v>
      </c>
      <c r="J13" s="72">
        <v>1.07</v>
      </c>
      <c r="K13" s="72" t="s">
        <v>105</v>
      </c>
    </row>
    <row r="14" spans="1:11">
      <c r="A14" s="67">
        <v>45725</v>
      </c>
      <c r="B14" s="68" t="s">
        <v>91</v>
      </c>
      <c r="C14" s="69">
        <v>70</v>
      </c>
      <c r="D14" s="68" t="s">
        <v>1</v>
      </c>
      <c r="E14" s="68" t="s">
        <v>0</v>
      </c>
      <c r="F14" s="68">
        <v>70</v>
      </c>
      <c r="G14" s="68">
        <v>40</v>
      </c>
      <c r="H14" s="68">
        <v>1</v>
      </c>
      <c r="I14" s="70">
        <v>0</v>
      </c>
      <c r="J14" s="68">
        <v>2.4</v>
      </c>
      <c r="K14" s="68"/>
    </row>
    <row r="15" spans="1:11">
      <c r="A15" s="67">
        <v>45725</v>
      </c>
      <c r="B15" s="68" t="s">
        <v>91</v>
      </c>
      <c r="C15" s="69">
        <v>70</v>
      </c>
      <c r="D15" s="68" t="s">
        <v>1</v>
      </c>
      <c r="E15" s="68" t="s">
        <v>99</v>
      </c>
      <c r="F15" s="68">
        <v>70</v>
      </c>
      <c r="G15" s="68">
        <v>60</v>
      </c>
      <c r="H15" s="68">
        <v>1</v>
      </c>
      <c r="I15" s="70">
        <v>0</v>
      </c>
      <c r="J15" s="68">
        <v>4.34</v>
      </c>
      <c r="K15" s="68" t="s">
        <v>106</v>
      </c>
    </row>
    <row r="16" spans="1:11">
      <c r="A16" s="71">
        <v>45725</v>
      </c>
      <c r="B16" s="72" t="s">
        <v>92</v>
      </c>
      <c r="C16" s="73">
        <v>70</v>
      </c>
      <c r="D16" s="72" t="s">
        <v>1</v>
      </c>
      <c r="E16" s="72" t="s">
        <v>0</v>
      </c>
      <c r="F16" s="72">
        <v>80</v>
      </c>
      <c r="G16" s="72">
        <v>40</v>
      </c>
      <c r="H16" s="72">
        <v>1</v>
      </c>
      <c r="I16" s="74">
        <v>0</v>
      </c>
      <c r="J16" s="72">
        <v>3.12</v>
      </c>
      <c r="K16" s="72"/>
    </row>
    <row r="17" spans="1:11">
      <c r="A17" s="71">
        <v>45725</v>
      </c>
      <c r="B17" s="72" t="s">
        <v>92</v>
      </c>
      <c r="C17" s="73">
        <v>70</v>
      </c>
      <c r="D17" s="72" t="s">
        <v>1</v>
      </c>
      <c r="E17" s="72" t="s">
        <v>99</v>
      </c>
      <c r="F17" s="72">
        <v>80</v>
      </c>
      <c r="G17" s="72">
        <v>80</v>
      </c>
      <c r="H17" s="72">
        <v>1</v>
      </c>
      <c r="I17" s="74">
        <v>0</v>
      </c>
      <c r="J17" s="72">
        <v>7.54</v>
      </c>
      <c r="K17" s="72" t="s">
        <v>107</v>
      </c>
    </row>
    <row r="18" spans="1:11">
      <c r="A18" s="67">
        <v>45780</v>
      </c>
      <c r="B18" s="68" t="s">
        <v>24</v>
      </c>
      <c r="C18" s="69"/>
      <c r="D18" s="68" t="s">
        <v>2</v>
      </c>
      <c r="E18" s="68" t="s">
        <v>99</v>
      </c>
      <c r="F18" s="68">
        <v>50</v>
      </c>
      <c r="G18" s="68">
        <v>2</v>
      </c>
      <c r="H18" s="68">
        <v>1</v>
      </c>
      <c r="I18" s="70">
        <v>0</v>
      </c>
      <c r="J18" s="68">
        <v>0.08</v>
      </c>
      <c r="K18" s="68"/>
    </row>
    <row r="19" spans="1:11">
      <c r="A19" s="67">
        <v>45780</v>
      </c>
      <c r="B19" s="68" t="s">
        <v>24</v>
      </c>
      <c r="C19" s="69"/>
      <c r="D19" s="68" t="s">
        <v>2</v>
      </c>
      <c r="E19" s="68" t="s">
        <v>100</v>
      </c>
      <c r="F19" s="68">
        <v>52</v>
      </c>
      <c r="G19" s="68">
        <v>2</v>
      </c>
      <c r="H19" s="68">
        <v>1</v>
      </c>
      <c r="I19" s="70">
        <v>0</v>
      </c>
      <c r="J19" s="68">
        <v>0.08</v>
      </c>
      <c r="K19" s="68" t="s">
        <v>108</v>
      </c>
    </row>
    <row r="20" spans="1:11">
      <c r="A20" s="71">
        <v>45781</v>
      </c>
      <c r="B20" s="72" t="s">
        <v>35</v>
      </c>
      <c r="C20" s="73"/>
      <c r="D20" s="72" t="s">
        <v>2</v>
      </c>
      <c r="E20" s="72" t="s">
        <v>99</v>
      </c>
      <c r="F20" s="72">
        <v>92</v>
      </c>
      <c r="G20" s="72">
        <v>3</v>
      </c>
      <c r="H20" s="72">
        <v>1</v>
      </c>
      <c r="I20" s="74">
        <v>0</v>
      </c>
      <c r="J20" s="72">
        <v>0.47</v>
      </c>
      <c r="K20" s="72" t="s">
        <v>109</v>
      </c>
    </row>
    <row r="21" spans="1:11">
      <c r="A21" s="67">
        <v>45781</v>
      </c>
      <c r="B21" s="68" t="s">
        <v>35</v>
      </c>
      <c r="C21" s="69"/>
      <c r="D21" s="68" t="s">
        <v>2</v>
      </c>
      <c r="E21" s="68" t="s">
        <v>99</v>
      </c>
      <c r="F21" s="68">
        <v>92</v>
      </c>
      <c r="G21" s="68">
        <v>3</v>
      </c>
      <c r="H21" s="68">
        <v>1</v>
      </c>
      <c r="I21" s="70">
        <v>0</v>
      </c>
      <c r="J21" s="68">
        <v>0.47</v>
      </c>
      <c r="K21" s="68" t="s">
        <v>109</v>
      </c>
    </row>
    <row r="22" spans="1:11">
      <c r="A22" s="71">
        <v>45783</v>
      </c>
      <c r="B22" s="72" t="s">
        <v>35</v>
      </c>
      <c r="C22" s="73">
        <v>68</v>
      </c>
      <c r="D22" s="72" t="s">
        <v>1</v>
      </c>
      <c r="E22" s="72" t="s">
        <v>0</v>
      </c>
      <c r="F22" s="72">
        <v>76</v>
      </c>
      <c r="G22" s="72">
        <v>3.2</v>
      </c>
      <c r="H22" s="72">
        <v>1</v>
      </c>
      <c r="I22" s="74">
        <v>0</v>
      </c>
      <c r="J22" s="72">
        <v>0.08</v>
      </c>
      <c r="K22" s="72"/>
    </row>
    <row r="23" spans="1:11">
      <c r="A23" s="71">
        <v>45783</v>
      </c>
      <c r="B23" s="72" t="s">
        <v>35</v>
      </c>
      <c r="C23" s="73">
        <v>68</v>
      </c>
      <c r="D23" s="72" t="s">
        <v>1</v>
      </c>
      <c r="E23" s="72" t="s">
        <v>99</v>
      </c>
      <c r="F23" s="72">
        <v>76</v>
      </c>
      <c r="G23" s="72">
        <v>5.6</v>
      </c>
      <c r="H23" s="72">
        <v>1</v>
      </c>
      <c r="I23" s="74">
        <v>0</v>
      </c>
      <c r="J23" s="72">
        <v>0.16</v>
      </c>
      <c r="K23" s="72" t="s">
        <v>110</v>
      </c>
    </row>
    <row r="24" spans="1:11">
      <c r="A24" s="67">
        <v>45783</v>
      </c>
      <c r="B24" s="68" t="s">
        <v>92</v>
      </c>
      <c r="C24" s="69">
        <v>60</v>
      </c>
      <c r="D24" s="68" t="s">
        <v>1</v>
      </c>
      <c r="E24" s="68" t="s">
        <v>0</v>
      </c>
      <c r="F24" s="68">
        <v>76</v>
      </c>
      <c r="G24" s="68">
        <v>30</v>
      </c>
      <c r="H24" s="68">
        <v>1</v>
      </c>
      <c r="I24" s="70">
        <v>0</v>
      </c>
      <c r="J24" s="68">
        <v>2.11</v>
      </c>
      <c r="K24" s="68"/>
    </row>
    <row r="25" spans="1:11">
      <c r="A25" s="67">
        <v>45783</v>
      </c>
      <c r="B25" s="68" t="s">
        <v>92</v>
      </c>
      <c r="C25" s="69">
        <v>60</v>
      </c>
      <c r="D25" s="68" t="s">
        <v>1</v>
      </c>
      <c r="E25" s="68" t="s">
        <v>99</v>
      </c>
      <c r="F25" s="68">
        <v>76</v>
      </c>
      <c r="G25" s="68">
        <v>35</v>
      </c>
      <c r="H25" s="68">
        <v>2</v>
      </c>
      <c r="I25" s="70">
        <v>0</v>
      </c>
      <c r="J25" s="68">
        <v>5.96</v>
      </c>
      <c r="K25" s="68" t="s">
        <v>111</v>
      </c>
    </row>
    <row r="26" spans="1:11">
      <c r="A26" s="71">
        <v>45784</v>
      </c>
      <c r="B26" s="72" t="s">
        <v>35</v>
      </c>
      <c r="C26" s="73">
        <v>60</v>
      </c>
      <c r="D26" s="72" t="s">
        <v>1</v>
      </c>
      <c r="E26" s="72" t="s">
        <v>0</v>
      </c>
      <c r="F26" s="72">
        <v>76</v>
      </c>
      <c r="G26" s="72">
        <v>3.2</v>
      </c>
      <c r="H26" s="72">
        <v>1</v>
      </c>
      <c r="I26" s="74">
        <v>0</v>
      </c>
      <c r="J26" s="72">
        <v>0.08</v>
      </c>
      <c r="K26" s="72"/>
    </row>
    <row r="27" spans="1:11">
      <c r="A27" s="71">
        <v>45784</v>
      </c>
      <c r="B27" s="72" t="s">
        <v>35</v>
      </c>
      <c r="C27" s="73">
        <v>60</v>
      </c>
      <c r="D27" s="72" t="s">
        <v>1</v>
      </c>
      <c r="E27" s="72" t="s">
        <v>99</v>
      </c>
      <c r="F27" s="72">
        <v>78</v>
      </c>
      <c r="G27" s="72">
        <v>6.5</v>
      </c>
      <c r="H27" s="72">
        <v>1</v>
      </c>
      <c r="I27" s="74">
        <v>0</v>
      </c>
      <c r="J27" s="72">
        <v>0.19</v>
      </c>
      <c r="K27" s="72" t="s">
        <v>112</v>
      </c>
    </row>
    <row r="28" spans="1:11">
      <c r="A28" s="67">
        <v>45786</v>
      </c>
      <c r="B28" s="68" t="s">
        <v>10</v>
      </c>
      <c r="C28" s="69"/>
      <c r="D28" s="68" t="s">
        <v>2</v>
      </c>
      <c r="E28" s="68" t="s">
        <v>99</v>
      </c>
      <c r="F28" s="68">
        <v>50</v>
      </c>
      <c r="G28" s="68">
        <v>3.2</v>
      </c>
      <c r="H28" s="68">
        <v>1</v>
      </c>
      <c r="I28" s="70">
        <v>0</v>
      </c>
      <c r="J28" s="68">
        <v>0.09</v>
      </c>
      <c r="K28" s="68"/>
    </row>
    <row r="29" spans="1:11">
      <c r="A29" s="67">
        <v>45786</v>
      </c>
      <c r="B29" s="68" t="s">
        <v>10</v>
      </c>
      <c r="C29" s="69"/>
      <c r="D29" s="68" t="s">
        <v>2</v>
      </c>
      <c r="E29" s="68" t="s">
        <v>100</v>
      </c>
      <c r="F29" s="68">
        <v>50</v>
      </c>
      <c r="G29" s="68">
        <v>2</v>
      </c>
      <c r="H29" s="68">
        <v>1</v>
      </c>
      <c r="I29" s="70">
        <v>0</v>
      </c>
      <c r="J29" s="68">
        <v>7.0000000000000007E-2</v>
      </c>
      <c r="K29" s="68" t="s">
        <v>108</v>
      </c>
    </row>
    <row r="30" spans="1:11">
      <c r="A30" s="71">
        <v>45786</v>
      </c>
      <c r="B30" s="72" t="s">
        <v>61</v>
      </c>
      <c r="C30" s="73"/>
      <c r="D30" s="72" t="s">
        <v>2</v>
      </c>
      <c r="E30" s="72" t="s">
        <v>99</v>
      </c>
      <c r="F30" s="72">
        <v>60</v>
      </c>
      <c r="G30" s="72">
        <v>10</v>
      </c>
      <c r="H30" s="72">
        <v>1</v>
      </c>
      <c r="I30" s="74">
        <v>0</v>
      </c>
      <c r="J30" s="72">
        <v>0.68</v>
      </c>
      <c r="K30" s="72"/>
    </row>
    <row r="31" spans="1:11">
      <c r="A31" s="71">
        <v>45786</v>
      </c>
      <c r="B31" s="72" t="s">
        <v>61</v>
      </c>
      <c r="C31" s="73"/>
      <c r="D31" s="72" t="s">
        <v>2</v>
      </c>
      <c r="E31" s="72" t="s">
        <v>100</v>
      </c>
      <c r="F31" s="72">
        <v>60</v>
      </c>
      <c r="G31" s="72">
        <v>16</v>
      </c>
      <c r="H31" s="72">
        <v>2</v>
      </c>
      <c r="I31" s="74">
        <v>0</v>
      </c>
      <c r="J31" s="72">
        <v>1.25</v>
      </c>
      <c r="K31" s="72" t="s">
        <v>113</v>
      </c>
    </row>
    <row r="32" spans="1:11">
      <c r="A32" s="67">
        <v>45786</v>
      </c>
      <c r="B32" s="68" t="s">
        <v>24</v>
      </c>
      <c r="C32" s="69"/>
      <c r="D32" s="68" t="s">
        <v>2</v>
      </c>
      <c r="E32" s="68" t="s">
        <v>99</v>
      </c>
      <c r="F32" s="68">
        <v>60</v>
      </c>
      <c r="G32" s="68">
        <v>3.2</v>
      </c>
      <c r="H32" s="68">
        <v>1</v>
      </c>
      <c r="I32" s="70">
        <v>0</v>
      </c>
      <c r="J32" s="68">
        <v>0.19</v>
      </c>
      <c r="K32" s="68"/>
    </row>
    <row r="33" spans="1:11">
      <c r="A33" s="67">
        <v>45786</v>
      </c>
      <c r="B33" s="68" t="s">
        <v>24</v>
      </c>
      <c r="C33" s="69"/>
      <c r="D33" s="68" t="s">
        <v>2</v>
      </c>
      <c r="E33" s="68" t="s">
        <v>100</v>
      </c>
      <c r="F33" s="68">
        <v>60</v>
      </c>
      <c r="G33" s="68">
        <v>3.2</v>
      </c>
      <c r="H33" s="68">
        <v>1</v>
      </c>
      <c r="I33" s="70">
        <v>0</v>
      </c>
      <c r="J33" s="68">
        <v>0.18</v>
      </c>
      <c r="K33" s="68" t="s">
        <v>114</v>
      </c>
    </row>
    <row r="34" spans="1:11">
      <c r="A34" s="71">
        <v>45786</v>
      </c>
      <c r="B34" s="72" t="s">
        <v>35</v>
      </c>
      <c r="C34" s="73">
        <v>60</v>
      </c>
      <c r="D34" s="72" t="s">
        <v>1</v>
      </c>
      <c r="E34" s="72" t="s">
        <v>0</v>
      </c>
      <c r="F34" s="72">
        <v>78</v>
      </c>
      <c r="G34" s="72">
        <v>3.5</v>
      </c>
      <c r="H34" s="72">
        <v>1</v>
      </c>
      <c r="I34" s="74">
        <v>0</v>
      </c>
      <c r="J34" s="72">
        <v>0.09</v>
      </c>
      <c r="K34" s="72"/>
    </row>
    <row r="35" spans="1:11">
      <c r="A35" s="71">
        <v>45786</v>
      </c>
      <c r="B35" s="72" t="s">
        <v>35</v>
      </c>
      <c r="C35" s="73">
        <v>60</v>
      </c>
      <c r="D35" s="72" t="s">
        <v>1</v>
      </c>
      <c r="E35" s="72" t="s">
        <v>99</v>
      </c>
      <c r="F35" s="72">
        <v>78</v>
      </c>
      <c r="G35" s="72">
        <v>8.1999999999999993</v>
      </c>
      <c r="H35" s="72">
        <v>1</v>
      </c>
      <c r="I35" s="74">
        <v>0</v>
      </c>
      <c r="J35" s="72">
        <v>0.24</v>
      </c>
      <c r="K35" s="72" t="s">
        <v>115</v>
      </c>
    </row>
    <row r="36" spans="1:11">
      <c r="A36" s="67">
        <v>45786</v>
      </c>
      <c r="B36" s="68" t="s">
        <v>92</v>
      </c>
      <c r="C36" s="69">
        <v>60</v>
      </c>
      <c r="D36" s="68" t="s">
        <v>1</v>
      </c>
      <c r="E36" s="68" t="s">
        <v>0</v>
      </c>
      <c r="F36" s="68">
        <v>70</v>
      </c>
      <c r="G36" s="68">
        <v>16</v>
      </c>
      <c r="H36" s="68">
        <v>1</v>
      </c>
      <c r="I36" s="70">
        <v>0</v>
      </c>
      <c r="J36" s="68">
        <v>0.96</v>
      </c>
      <c r="K36" s="68"/>
    </row>
    <row r="37" spans="1:11">
      <c r="A37" s="67">
        <v>45786</v>
      </c>
      <c r="B37" s="68" t="s">
        <v>92</v>
      </c>
      <c r="C37" s="69">
        <v>60</v>
      </c>
      <c r="D37" s="68" t="s">
        <v>1</v>
      </c>
      <c r="E37" s="68" t="s">
        <v>99</v>
      </c>
      <c r="F37" s="68">
        <v>70</v>
      </c>
      <c r="G37" s="68">
        <v>28</v>
      </c>
      <c r="H37" s="68">
        <v>2</v>
      </c>
      <c r="I37" s="70">
        <v>0</v>
      </c>
      <c r="J37" s="68">
        <v>4.05</v>
      </c>
      <c r="K37" s="68" t="s">
        <v>116</v>
      </c>
    </row>
    <row r="38" spans="1:11">
      <c r="A38" s="71">
        <v>45786</v>
      </c>
      <c r="B38" s="72" t="s">
        <v>28</v>
      </c>
      <c r="C38" s="73"/>
      <c r="D38" s="72" t="s">
        <v>2</v>
      </c>
      <c r="E38" s="72" t="s">
        <v>99</v>
      </c>
      <c r="F38" s="72">
        <v>56</v>
      </c>
      <c r="G38" s="72">
        <v>3.5</v>
      </c>
      <c r="H38" s="72">
        <v>1</v>
      </c>
      <c r="I38" s="74">
        <v>0</v>
      </c>
      <c r="J38" s="72">
        <v>0.14000000000000001</v>
      </c>
      <c r="K38" s="72"/>
    </row>
    <row r="39" spans="1:11">
      <c r="A39" s="71">
        <v>45786</v>
      </c>
      <c r="B39" s="72" t="s">
        <v>28</v>
      </c>
      <c r="C39" s="73"/>
      <c r="D39" s="72" t="s">
        <v>2</v>
      </c>
      <c r="E39" s="72" t="s">
        <v>100</v>
      </c>
      <c r="F39" s="72">
        <v>55</v>
      </c>
      <c r="G39" s="72">
        <v>3.6</v>
      </c>
      <c r="H39" s="72">
        <v>1</v>
      </c>
      <c r="I39" s="74">
        <v>0</v>
      </c>
      <c r="J39" s="72">
        <v>0.14000000000000001</v>
      </c>
      <c r="K39" s="72" t="s">
        <v>117</v>
      </c>
    </row>
    <row r="40" spans="1:11">
      <c r="A40" s="67">
        <v>45786</v>
      </c>
      <c r="B40" s="68" t="s">
        <v>89</v>
      </c>
      <c r="C40" s="69"/>
      <c r="D40" s="68" t="s">
        <v>2</v>
      </c>
      <c r="E40" s="68" t="s">
        <v>99</v>
      </c>
      <c r="F40" s="68">
        <v>56</v>
      </c>
      <c r="G40" s="68">
        <v>2</v>
      </c>
      <c r="H40" s="68">
        <v>1</v>
      </c>
      <c r="I40" s="70">
        <v>0</v>
      </c>
      <c r="J40" s="68">
        <v>0.08</v>
      </c>
      <c r="K40" s="68"/>
    </row>
    <row r="41" spans="1:11">
      <c r="A41" s="67">
        <v>45786</v>
      </c>
      <c r="B41" s="68" t="s">
        <v>89</v>
      </c>
      <c r="C41" s="69"/>
      <c r="D41" s="68" t="s">
        <v>2</v>
      </c>
      <c r="E41" s="68" t="s">
        <v>100</v>
      </c>
      <c r="F41" s="68">
        <v>55</v>
      </c>
      <c r="G41" s="68">
        <v>2.1</v>
      </c>
      <c r="H41" s="68">
        <v>1</v>
      </c>
      <c r="I41" s="70">
        <v>0</v>
      </c>
      <c r="J41" s="68">
        <v>0.08</v>
      </c>
      <c r="K41" s="68" t="s">
        <v>108</v>
      </c>
    </row>
    <row r="42" spans="1:11">
      <c r="A42" s="71">
        <v>45787</v>
      </c>
      <c r="B42" s="72" t="s">
        <v>10</v>
      </c>
      <c r="C42" s="73"/>
      <c r="D42" s="72" t="s">
        <v>2</v>
      </c>
      <c r="E42" s="72" t="s">
        <v>99</v>
      </c>
      <c r="F42" s="72">
        <v>50</v>
      </c>
      <c r="G42" s="72">
        <v>2.2999999999999998</v>
      </c>
      <c r="H42" s="72">
        <v>1</v>
      </c>
      <c r="I42" s="74">
        <v>0</v>
      </c>
      <c r="J42" s="72">
        <v>7.0000000000000007E-2</v>
      </c>
      <c r="K42" s="72"/>
    </row>
    <row r="43" spans="1:11">
      <c r="A43" s="71">
        <v>45787</v>
      </c>
      <c r="B43" s="72" t="s">
        <v>10</v>
      </c>
      <c r="C43" s="73"/>
      <c r="D43" s="72" t="s">
        <v>2</v>
      </c>
      <c r="E43" s="72" t="s">
        <v>100</v>
      </c>
      <c r="F43" s="72">
        <v>50</v>
      </c>
      <c r="G43" s="72">
        <v>2.1</v>
      </c>
      <c r="H43" s="72">
        <v>1</v>
      </c>
      <c r="I43" s="74">
        <v>0</v>
      </c>
      <c r="J43" s="72">
        <v>7.0000000000000007E-2</v>
      </c>
      <c r="K43" s="72" t="s">
        <v>118</v>
      </c>
    </row>
    <row r="44" spans="1:11">
      <c r="A44" s="67">
        <v>45787</v>
      </c>
      <c r="B44" s="68" t="s">
        <v>35</v>
      </c>
      <c r="C44" s="69">
        <v>56</v>
      </c>
      <c r="D44" s="68" t="s">
        <v>1</v>
      </c>
      <c r="E44" s="68" t="s">
        <v>0</v>
      </c>
      <c r="F44" s="68">
        <v>80</v>
      </c>
      <c r="G44" s="68">
        <v>3.2</v>
      </c>
      <c r="H44" s="68">
        <v>1</v>
      </c>
      <c r="I44" s="70">
        <v>0</v>
      </c>
      <c r="J44" s="68">
        <v>0.09</v>
      </c>
      <c r="K44" s="68"/>
    </row>
    <row r="45" spans="1:11">
      <c r="A45" s="67">
        <v>45787</v>
      </c>
      <c r="B45" s="68" t="s">
        <v>35</v>
      </c>
      <c r="C45" s="69">
        <v>56</v>
      </c>
      <c r="D45" s="68" t="s">
        <v>1</v>
      </c>
      <c r="E45" s="68" t="s">
        <v>99</v>
      </c>
      <c r="F45" s="68">
        <v>80</v>
      </c>
      <c r="G45" s="68">
        <v>6</v>
      </c>
      <c r="H45" s="68">
        <v>1</v>
      </c>
      <c r="I45" s="70">
        <v>0</v>
      </c>
      <c r="J45" s="68">
        <v>0.19</v>
      </c>
      <c r="K45" s="68" t="s">
        <v>117</v>
      </c>
    </row>
    <row r="46" spans="1:11">
      <c r="A46" s="71">
        <v>45787</v>
      </c>
      <c r="B46" s="72" t="s">
        <v>35</v>
      </c>
      <c r="C46" s="73"/>
      <c r="D46" s="72" t="s">
        <v>2</v>
      </c>
      <c r="E46" s="72" t="s">
        <v>99</v>
      </c>
      <c r="F46" s="72">
        <v>102</v>
      </c>
      <c r="G46" s="72">
        <v>2.5</v>
      </c>
      <c r="H46" s="72">
        <v>1</v>
      </c>
      <c r="I46" s="74">
        <v>0</v>
      </c>
      <c r="J46" s="72">
        <v>0.48</v>
      </c>
      <c r="K46" s="72" t="s">
        <v>119</v>
      </c>
    </row>
    <row r="47" spans="1:11">
      <c r="A47" s="67">
        <v>45788</v>
      </c>
      <c r="B47" s="68" t="s">
        <v>35</v>
      </c>
      <c r="C47" s="69">
        <v>67</v>
      </c>
      <c r="D47" s="68" t="s">
        <v>1</v>
      </c>
      <c r="E47" s="68" t="s">
        <v>0</v>
      </c>
      <c r="F47" s="68">
        <v>115</v>
      </c>
      <c r="G47" s="68">
        <v>3.6</v>
      </c>
      <c r="H47" s="68">
        <v>1</v>
      </c>
      <c r="I47" s="70">
        <v>0</v>
      </c>
      <c r="J47" s="68">
        <v>0.21</v>
      </c>
      <c r="K47" s="68"/>
    </row>
    <row r="48" spans="1:11">
      <c r="A48" s="67">
        <v>45788</v>
      </c>
      <c r="B48" s="68" t="s">
        <v>35</v>
      </c>
      <c r="C48" s="69">
        <v>67</v>
      </c>
      <c r="D48" s="68" t="s">
        <v>1</v>
      </c>
      <c r="E48" s="68" t="s">
        <v>99</v>
      </c>
      <c r="F48" s="68">
        <v>128</v>
      </c>
      <c r="G48" s="68">
        <v>4.5</v>
      </c>
      <c r="H48" s="68">
        <v>1</v>
      </c>
      <c r="I48" s="70">
        <v>0</v>
      </c>
      <c r="J48" s="68">
        <v>0.35</v>
      </c>
      <c r="K48" s="68" t="s">
        <v>120</v>
      </c>
    </row>
    <row r="49" spans="1:11">
      <c r="A49" s="71">
        <v>45788</v>
      </c>
      <c r="B49" s="72" t="s">
        <v>6</v>
      </c>
      <c r="C49" s="73">
        <v>67</v>
      </c>
      <c r="D49" s="72" t="s">
        <v>1</v>
      </c>
      <c r="E49" s="72" t="s">
        <v>0</v>
      </c>
      <c r="F49" s="72">
        <v>65</v>
      </c>
      <c r="G49" s="72">
        <v>10</v>
      </c>
      <c r="H49" s="72">
        <v>1</v>
      </c>
      <c r="I49" s="74">
        <v>0</v>
      </c>
      <c r="J49" s="72">
        <v>0.5</v>
      </c>
      <c r="K49" s="72"/>
    </row>
    <row r="50" spans="1:11">
      <c r="A50" s="71">
        <v>45788</v>
      </c>
      <c r="B50" s="72" t="s">
        <v>6</v>
      </c>
      <c r="C50" s="73">
        <v>67</v>
      </c>
      <c r="D50" s="72" t="s">
        <v>1</v>
      </c>
      <c r="E50" s="72" t="s">
        <v>99</v>
      </c>
      <c r="F50" s="72">
        <v>65</v>
      </c>
      <c r="G50" s="72">
        <v>10</v>
      </c>
      <c r="H50" s="72">
        <v>1</v>
      </c>
      <c r="I50" s="74">
        <v>0</v>
      </c>
      <c r="J50" s="72">
        <v>0.57999999999999996</v>
      </c>
      <c r="K50" s="72" t="s">
        <v>121</v>
      </c>
    </row>
    <row r="51" spans="1:11">
      <c r="A51" s="67">
        <v>45811</v>
      </c>
      <c r="B51" s="68" t="s">
        <v>6</v>
      </c>
      <c r="C51" s="69">
        <v>67</v>
      </c>
      <c r="D51" s="68" t="s">
        <v>1</v>
      </c>
      <c r="E51" s="68" t="s">
        <v>0</v>
      </c>
      <c r="F51" s="68">
        <v>65</v>
      </c>
      <c r="G51" s="68">
        <v>10</v>
      </c>
      <c r="H51" s="68">
        <v>1</v>
      </c>
      <c r="I51" s="70">
        <v>0</v>
      </c>
      <c r="J51" s="68">
        <v>0.5</v>
      </c>
      <c r="K51" s="68"/>
    </row>
    <row r="52" spans="1:11">
      <c r="A52" s="67">
        <v>45811</v>
      </c>
      <c r="B52" s="68" t="s">
        <v>6</v>
      </c>
      <c r="C52" s="69">
        <v>67</v>
      </c>
      <c r="D52" s="68" t="s">
        <v>1</v>
      </c>
      <c r="E52" s="68" t="s">
        <v>99</v>
      </c>
      <c r="F52" s="68">
        <v>65</v>
      </c>
      <c r="G52" s="68">
        <v>10</v>
      </c>
      <c r="H52" s="68">
        <v>1</v>
      </c>
      <c r="I52" s="70">
        <v>0</v>
      </c>
      <c r="J52" s="68">
        <v>0.57999999999999996</v>
      </c>
      <c r="K52" s="68" t="s">
        <v>121</v>
      </c>
    </row>
    <row r="53" spans="1:11">
      <c r="A53" s="71">
        <v>45811</v>
      </c>
      <c r="B53" s="72" t="s">
        <v>24</v>
      </c>
      <c r="C53" s="73">
        <v>67</v>
      </c>
      <c r="D53" s="72" t="s">
        <v>1</v>
      </c>
      <c r="E53" s="72" t="s">
        <v>0</v>
      </c>
      <c r="F53" s="72">
        <v>70</v>
      </c>
      <c r="G53" s="72">
        <v>14</v>
      </c>
      <c r="H53" s="72">
        <v>1</v>
      </c>
      <c r="I53" s="74">
        <v>0</v>
      </c>
      <c r="J53" s="72">
        <v>0.5</v>
      </c>
      <c r="K53" s="72"/>
    </row>
    <row r="54" spans="1:11">
      <c r="A54" s="71">
        <v>45811</v>
      </c>
      <c r="B54" s="72" t="s">
        <v>24</v>
      </c>
      <c r="C54" s="73">
        <v>67</v>
      </c>
      <c r="D54" s="72" t="s">
        <v>1</v>
      </c>
      <c r="E54" s="72" t="s">
        <v>99</v>
      </c>
      <c r="F54" s="72">
        <v>65</v>
      </c>
      <c r="G54" s="72">
        <v>10</v>
      </c>
      <c r="H54" s="72">
        <v>2</v>
      </c>
      <c r="I54" s="74">
        <v>0</v>
      </c>
      <c r="J54" s="72">
        <v>0.59</v>
      </c>
      <c r="K54" s="72" t="s">
        <v>122</v>
      </c>
    </row>
    <row r="55" spans="1:11">
      <c r="A55" s="67">
        <v>45811</v>
      </c>
      <c r="B55" s="68" t="s">
        <v>21</v>
      </c>
      <c r="C55" s="69">
        <v>67</v>
      </c>
      <c r="D55" s="68" t="s">
        <v>1</v>
      </c>
      <c r="E55" s="68" t="s">
        <v>0</v>
      </c>
      <c r="F55" s="68">
        <v>80</v>
      </c>
      <c r="G55" s="68">
        <v>14</v>
      </c>
      <c r="H55" s="68">
        <v>1</v>
      </c>
      <c r="I55" s="70">
        <v>0</v>
      </c>
      <c r="J55" s="68">
        <v>0.57999999999999996</v>
      </c>
      <c r="K55" s="68"/>
    </row>
    <row r="56" spans="1:11">
      <c r="A56" s="67">
        <v>45811</v>
      </c>
      <c r="B56" s="68" t="s">
        <v>21</v>
      </c>
      <c r="C56" s="69">
        <v>67</v>
      </c>
      <c r="D56" s="68" t="s">
        <v>1</v>
      </c>
      <c r="E56" s="68" t="s">
        <v>99</v>
      </c>
      <c r="F56" s="68">
        <v>65</v>
      </c>
      <c r="G56" s="68">
        <v>14</v>
      </c>
      <c r="H56" s="68">
        <v>1</v>
      </c>
      <c r="I56" s="70">
        <v>0</v>
      </c>
      <c r="J56" s="68">
        <v>0.38</v>
      </c>
      <c r="K56" s="68" t="s">
        <v>123</v>
      </c>
    </row>
    <row r="57" spans="1:11">
      <c r="A57" s="71">
        <v>45820</v>
      </c>
      <c r="B57" s="72" t="s">
        <v>35</v>
      </c>
      <c r="C57" s="73"/>
      <c r="D57" s="72" t="s">
        <v>2</v>
      </c>
      <c r="E57" s="72" t="s">
        <v>99</v>
      </c>
      <c r="F57" s="72">
        <v>90</v>
      </c>
      <c r="G57" s="72">
        <v>5</v>
      </c>
      <c r="H57" s="72">
        <v>1</v>
      </c>
      <c r="I57" s="74">
        <v>0</v>
      </c>
      <c r="J57" s="72">
        <v>0.75</v>
      </c>
      <c r="K57" s="72" t="s">
        <v>124</v>
      </c>
    </row>
    <row r="58" spans="1:11">
      <c r="A58" s="67">
        <v>45820</v>
      </c>
      <c r="B58" s="68" t="s">
        <v>35</v>
      </c>
      <c r="C58" s="69"/>
      <c r="D58" s="68" t="s">
        <v>2</v>
      </c>
      <c r="E58" s="68" t="s">
        <v>99</v>
      </c>
      <c r="F58" s="68">
        <v>90</v>
      </c>
      <c r="G58" s="68">
        <v>2</v>
      </c>
      <c r="H58" s="68">
        <v>1</v>
      </c>
      <c r="I58" s="70">
        <v>0</v>
      </c>
      <c r="J58" s="68">
        <v>0.3</v>
      </c>
      <c r="K58" s="68" t="s">
        <v>125</v>
      </c>
    </row>
    <row r="59" spans="1:11">
      <c r="A59" s="71">
        <v>45821</v>
      </c>
      <c r="B59" s="72" t="s">
        <v>68</v>
      </c>
      <c r="C59" s="73"/>
      <c r="D59" s="72" t="s">
        <v>2</v>
      </c>
      <c r="E59" s="72" t="s">
        <v>99</v>
      </c>
      <c r="F59" s="72">
        <v>48</v>
      </c>
      <c r="G59" s="72">
        <v>2</v>
      </c>
      <c r="H59" s="72">
        <v>3</v>
      </c>
      <c r="I59" s="74">
        <v>0</v>
      </c>
      <c r="J59" s="72">
        <v>0.16</v>
      </c>
      <c r="K59" s="72" t="s">
        <v>108</v>
      </c>
    </row>
    <row r="60" spans="1:11">
      <c r="A60" s="67">
        <v>45822</v>
      </c>
      <c r="B60" s="68" t="s">
        <v>35</v>
      </c>
      <c r="C60" s="69">
        <v>61</v>
      </c>
      <c r="D60" s="68" t="s">
        <v>1</v>
      </c>
      <c r="E60" s="68" t="s">
        <v>0</v>
      </c>
      <c r="F60" s="68">
        <v>62</v>
      </c>
      <c r="G60" s="68">
        <v>160</v>
      </c>
      <c r="H60" s="68">
        <v>1</v>
      </c>
      <c r="I60" s="70">
        <v>0</v>
      </c>
      <c r="J60" s="68">
        <v>2.74</v>
      </c>
      <c r="K60" s="68"/>
    </row>
    <row r="61" spans="1:11">
      <c r="A61" s="67">
        <v>45822</v>
      </c>
      <c r="B61" s="68" t="s">
        <v>35</v>
      </c>
      <c r="C61" s="69">
        <v>61</v>
      </c>
      <c r="D61" s="68" t="s">
        <v>1</v>
      </c>
      <c r="E61" s="68" t="s">
        <v>99</v>
      </c>
      <c r="F61" s="68">
        <v>69</v>
      </c>
      <c r="G61" s="68">
        <v>160</v>
      </c>
      <c r="H61" s="68">
        <v>1</v>
      </c>
      <c r="I61" s="70">
        <v>0</v>
      </c>
      <c r="J61" s="68">
        <v>3.71</v>
      </c>
      <c r="K61" s="68" t="s">
        <v>126</v>
      </c>
    </row>
    <row r="62" spans="1:11">
      <c r="A62" s="71">
        <v>45824</v>
      </c>
      <c r="B62" s="72" t="s">
        <v>24</v>
      </c>
      <c r="C62" s="73"/>
      <c r="D62" s="72" t="s">
        <v>2</v>
      </c>
      <c r="E62" s="72" t="s">
        <v>99</v>
      </c>
      <c r="F62" s="72">
        <v>70</v>
      </c>
      <c r="G62" s="72">
        <v>2</v>
      </c>
      <c r="H62" s="72">
        <v>2</v>
      </c>
      <c r="I62" s="74">
        <v>0</v>
      </c>
      <c r="J62" s="72">
        <v>0.32</v>
      </c>
      <c r="K62" s="72" t="s">
        <v>127</v>
      </c>
    </row>
    <row r="63" spans="1:11">
      <c r="A63" s="67">
        <v>45824</v>
      </c>
      <c r="B63" s="68" t="s">
        <v>20</v>
      </c>
      <c r="C63" s="69"/>
      <c r="D63" s="68" t="s">
        <v>2</v>
      </c>
      <c r="E63" s="68" t="s">
        <v>99</v>
      </c>
      <c r="F63" s="68">
        <v>70</v>
      </c>
      <c r="G63" s="68">
        <v>2</v>
      </c>
      <c r="H63" s="68">
        <v>2</v>
      </c>
      <c r="I63" s="70">
        <v>0</v>
      </c>
      <c r="J63" s="68">
        <v>0.37</v>
      </c>
      <c r="K63" s="68" t="s">
        <v>114</v>
      </c>
    </row>
    <row r="64" spans="1:11">
      <c r="A64" s="71">
        <v>45825</v>
      </c>
      <c r="B64" s="72" t="s">
        <v>89</v>
      </c>
      <c r="C64" s="73">
        <v>50</v>
      </c>
      <c r="D64" s="72" t="s">
        <v>1</v>
      </c>
      <c r="E64" s="72" t="s">
        <v>0</v>
      </c>
      <c r="F64" s="72">
        <v>50</v>
      </c>
      <c r="G64" s="72">
        <v>2</v>
      </c>
      <c r="H64" s="72">
        <v>1</v>
      </c>
      <c r="I64" s="74">
        <v>0</v>
      </c>
      <c r="J64" s="72">
        <v>0.03</v>
      </c>
      <c r="K64" s="72"/>
    </row>
    <row r="65" spans="1:11">
      <c r="A65" s="71">
        <v>45825</v>
      </c>
      <c r="B65" s="72" t="s">
        <v>89</v>
      </c>
      <c r="C65" s="73">
        <v>50</v>
      </c>
      <c r="D65" s="72" t="s">
        <v>1</v>
      </c>
      <c r="E65" s="72" t="s">
        <v>99</v>
      </c>
      <c r="F65" s="72">
        <v>50</v>
      </c>
      <c r="G65" s="72">
        <v>2</v>
      </c>
      <c r="H65" s="72">
        <v>2</v>
      </c>
      <c r="I65" s="74">
        <v>0</v>
      </c>
      <c r="J65" s="72">
        <v>0.06</v>
      </c>
      <c r="K65" s="72" t="s">
        <v>129</v>
      </c>
    </row>
    <row r="66" spans="1:11">
      <c r="A66" s="67">
        <v>45825</v>
      </c>
      <c r="B66" s="68" t="s">
        <v>10</v>
      </c>
      <c r="C66" s="69">
        <v>50</v>
      </c>
      <c r="D66" s="68" t="s">
        <v>1</v>
      </c>
      <c r="E66" s="68" t="s">
        <v>0</v>
      </c>
      <c r="F66" s="68">
        <v>50</v>
      </c>
      <c r="G66" s="68">
        <v>2</v>
      </c>
      <c r="H66" s="68">
        <v>1</v>
      </c>
      <c r="I66" s="70">
        <v>0</v>
      </c>
      <c r="J66" s="68">
        <v>0.03</v>
      </c>
      <c r="K66" s="68"/>
    </row>
    <row r="67" spans="1:11">
      <c r="A67" s="67">
        <v>45825</v>
      </c>
      <c r="B67" s="68" t="s">
        <v>10</v>
      </c>
      <c r="C67" s="69">
        <v>50</v>
      </c>
      <c r="D67" s="68" t="s">
        <v>1</v>
      </c>
      <c r="E67" s="68" t="s">
        <v>99</v>
      </c>
      <c r="F67" s="68">
        <v>50</v>
      </c>
      <c r="G67" s="68">
        <v>2</v>
      </c>
      <c r="H67" s="68">
        <v>1</v>
      </c>
      <c r="I67" s="70">
        <v>0</v>
      </c>
      <c r="J67" s="68">
        <v>0.03</v>
      </c>
      <c r="K67" s="68" t="s">
        <v>130</v>
      </c>
    </row>
    <row r="68" spans="1:11">
      <c r="A68" s="71">
        <v>45825</v>
      </c>
      <c r="B68" s="72" t="s">
        <v>35</v>
      </c>
      <c r="C68" s="73">
        <v>50</v>
      </c>
      <c r="D68" s="72" t="s">
        <v>1</v>
      </c>
      <c r="E68" s="72" t="s">
        <v>0</v>
      </c>
      <c r="F68" s="72">
        <v>90</v>
      </c>
      <c r="G68" s="72">
        <v>2</v>
      </c>
      <c r="H68" s="72">
        <v>1</v>
      </c>
      <c r="I68" s="74">
        <v>0</v>
      </c>
      <c r="J68" s="72">
        <v>7.0000000000000007E-2</v>
      </c>
      <c r="K68" s="72"/>
    </row>
    <row r="69" spans="1:11">
      <c r="A69" s="71">
        <v>45825</v>
      </c>
      <c r="B69" s="72" t="s">
        <v>35</v>
      </c>
      <c r="C69" s="73">
        <v>50</v>
      </c>
      <c r="D69" s="72" t="s">
        <v>1</v>
      </c>
      <c r="E69" s="72" t="s">
        <v>99</v>
      </c>
      <c r="F69" s="72">
        <v>110</v>
      </c>
      <c r="G69" s="72">
        <v>5</v>
      </c>
      <c r="H69" s="72">
        <v>1</v>
      </c>
      <c r="I69" s="74">
        <v>0</v>
      </c>
      <c r="J69" s="72">
        <v>0.28999999999999998</v>
      </c>
      <c r="K69" s="72" t="s">
        <v>131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Calculadora</vt:lpstr>
      <vt:lpstr>Parametros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Palma</dc:creator>
  <cp:lastModifiedBy>Daniel Eduardo Salazar Correa</cp:lastModifiedBy>
  <dcterms:created xsi:type="dcterms:W3CDTF">2024-10-24T05:17:30Z</dcterms:created>
  <dcterms:modified xsi:type="dcterms:W3CDTF">2025-06-20T15:40:52Z</dcterms:modified>
</cp:coreProperties>
</file>