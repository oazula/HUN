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2"/>
  </bookViews>
  <sheets>
    <sheet name="Calculadora" sheetId="1" r:id="rId1"/>
    <sheet name="Parametros" sheetId="2" r:id="rId2"/>
    <sheet name="Datos" sheetId="3" r:id="rId3"/>
  </sheets>
  <definedNames>
    <definedName name="_xlnm._FilterDatabase" localSheetId="1" hidden="1">Parametros!$B$3:$G$3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3" i="3" l="1"/>
  <c r="K57" i="3"/>
  <c r="G14" i="1" l="1"/>
  <c r="F14" i="1"/>
  <c r="D14" i="1"/>
  <c r="C4" i="1" l="1"/>
</calcChain>
</file>

<file path=xl/sharedStrings.xml><?xml version="1.0" encoding="utf-8"?>
<sst xmlns="http://schemas.openxmlformats.org/spreadsheetml/2006/main" count="1331" uniqueCount="169">
  <si>
    <t>AP-PA</t>
  </si>
  <si>
    <t>LAT</t>
  </si>
  <si>
    <t>Oblicuo</t>
  </si>
  <si>
    <t>Bucky</t>
  </si>
  <si>
    <t>Camilla</t>
  </si>
  <si>
    <t>Pierna</t>
  </si>
  <si>
    <t>Cabeza</t>
  </si>
  <si>
    <t>Cervical</t>
  </si>
  <si>
    <t>Parametros</t>
  </si>
  <si>
    <t>OBLICUO</t>
  </si>
  <si>
    <t>Abdomen</t>
  </si>
  <si>
    <t>mAs</t>
  </si>
  <si>
    <t>Brazo</t>
  </si>
  <si>
    <t>Placas Aprobadas</t>
  </si>
  <si>
    <t>Mano</t>
  </si>
  <si>
    <t>Placas Rechazadas</t>
  </si>
  <si>
    <t>Dosis [mGy]</t>
  </si>
  <si>
    <t>Pie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</si>
  <si>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</si>
  <si>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</si>
  <si>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</si>
  <si>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</si>
  <si>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</si>
  <si>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</si>
  <si>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</si>
  <si>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</si>
  <si>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</si>
  <si>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</si>
  <si>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</si>
  <si>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Femur</t>
  </si>
  <si>
    <t>Rodilla</t>
  </si>
  <si>
    <t>Col Lumbar</t>
  </si>
  <si>
    <t>Sacro</t>
  </si>
  <si>
    <t>Coxis</t>
  </si>
  <si>
    <t>Reja costal</t>
  </si>
  <si>
    <t>Abdomen simple</t>
  </si>
  <si>
    <t>Proyección</t>
  </si>
  <si>
    <t>Distancia</t>
  </si>
  <si>
    <t>Senos paranasales</t>
  </si>
  <si>
    <t>Tobillo</t>
  </si>
  <si>
    <t>Fecha</t>
  </si>
  <si>
    <t>Peso[kg]</t>
  </si>
  <si>
    <t>Mandíbula</t>
  </si>
  <si>
    <t>Pelvis Cadera</t>
  </si>
  <si>
    <t>Órbitas</t>
  </si>
  <si>
    <t>Sacroilíacas</t>
  </si>
  <si>
    <t>Cavum Faringeo</t>
  </si>
  <si>
    <t>Cráneo Simple</t>
  </si>
  <si>
    <t>Huesos Cara</t>
  </si>
  <si>
    <t>Huesos Nasales</t>
  </si>
  <si>
    <t>Húmero</t>
  </si>
  <si>
    <t>Tórax</t>
  </si>
  <si>
    <t>Peso del paciente [kg]</t>
  </si>
  <si>
    <t>Col Torácica</t>
  </si>
  <si>
    <t>Columna Panorámica</t>
  </si>
  <si>
    <t>Esternón</t>
  </si>
  <si>
    <t>Dosis Total [mGy]</t>
  </si>
  <si>
    <t>Proyección (Espesor del paciente)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</si>
  <si>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</si>
  <si>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</si>
  <si>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</si>
  <si>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</si>
  <si>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</si>
  <si>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</si>
  <si>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</si>
  <si>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</si>
  <si>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</si>
  <si>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</si>
  <si>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</si>
  <si>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</si>
  <si>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</si>
  <si>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</si>
  <si>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>Total de dosis [mGy]</t>
  </si>
  <si>
    <t>0,00</t>
  </si>
  <si>
    <t>0,66</t>
  </si>
  <si>
    <t>0,17</t>
  </si>
  <si>
    <t>0,39</t>
  </si>
  <si>
    <t>0,59</t>
  </si>
  <si>
    <t>0,32</t>
  </si>
  <si>
    <t>4,94</t>
  </si>
  <si>
    <t>0,11</t>
  </si>
  <si>
    <t>1,04</t>
  </si>
  <si>
    <t>0,62</t>
  </si>
  <si>
    <t>0,86</t>
  </si>
  <si>
    <t>0,33</t>
  </si>
  <si>
    <t>3,77</t>
  </si>
  <si>
    <t>0,74</t>
  </si>
  <si>
    <t>0,13</t>
  </si>
  <si>
    <t>0,47</t>
  </si>
  <si>
    <t>0,37</t>
  </si>
  <si>
    <t>0,51</t>
  </si>
  <si>
    <t>0,68</t>
  </si>
  <si>
    <t>1,30</t>
  </si>
  <si>
    <t>1,01</t>
  </si>
  <si>
    <t>2,73</t>
  </si>
  <si>
    <t>7,16</t>
  </si>
  <si>
    <t>0,54</t>
  </si>
  <si>
    <t>0,41</t>
  </si>
  <si>
    <t>1,68</t>
  </si>
  <si>
    <t>0,09</t>
  </si>
  <si>
    <t>0,57</t>
  </si>
  <si>
    <t>0,45</t>
  </si>
  <si>
    <t>1,99</t>
  </si>
  <si>
    <t>3,29</t>
  </si>
  <si>
    <t>0,70</t>
  </si>
  <si>
    <t>0,48</t>
  </si>
  <si>
    <t>0,64</t>
  </si>
  <si>
    <t>6,06</t>
  </si>
  <si>
    <t>0,20</t>
  </si>
  <si>
    <t>0,28</t>
  </si>
  <si>
    <t>2,07</t>
  </si>
  <si>
    <t>1,08</t>
  </si>
  <si>
    <t>0,75</t>
  </si>
  <si>
    <t>0,76</t>
  </si>
  <si>
    <t>0,07</t>
  </si>
  <si>
    <t>6,83</t>
  </si>
  <si>
    <t>4,44</t>
  </si>
  <si>
    <t>2,50</t>
  </si>
  <si>
    <t>0,08</t>
  </si>
  <si>
    <t>0,65</t>
  </si>
  <si>
    <t>4,58</t>
  </si>
  <si>
    <t>2,12</t>
  </si>
  <si>
    <t>0,22</t>
  </si>
  <si>
    <t>0,61</t>
  </si>
  <si>
    <t>0,38</t>
  </si>
  <si>
    <t>1,00</t>
  </si>
  <si>
    <t>2,83</t>
  </si>
  <si>
    <t>0,21</t>
  </si>
  <si>
    <t>6,07</t>
  </si>
  <si>
    <t>1,96</t>
  </si>
  <si>
    <t>1,88</t>
  </si>
  <si>
    <t>0,25</t>
  </si>
  <si>
    <t>2,16</t>
  </si>
  <si>
    <t>3,64</t>
  </si>
  <si>
    <t>1,15</t>
  </si>
  <si>
    <t>0,34</t>
  </si>
  <si>
    <t>0,55</t>
  </si>
  <si>
    <t>0,29</t>
  </si>
  <si>
    <t>0,89</t>
  </si>
  <si>
    <t>18,77</t>
  </si>
  <si>
    <t>6,21</t>
  </si>
  <si>
    <t>2,11</t>
  </si>
  <si>
    <t>0,58</t>
  </si>
  <si>
    <t>0,63</t>
  </si>
  <si>
    <t>0,80</t>
  </si>
  <si>
    <t>0,85</t>
  </si>
  <si>
    <t>1,42</t>
  </si>
  <si>
    <t>0,10</t>
  </si>
  <si>
    <t>6,23</t>
  </si>
  <si>
    <t>0,42</t>
  </si>
  <si>
    <t>5,76</t>
  </si>
  <si>
    <t>0,36</t>
  </si>
  <si>
    <t>0,30</t>
  </si>
  <si>
    <t>2,36</t>
  </si>
  <si>
    <t>6,35</t>
  </si>
  <si>
    <t>2,82</t>
  </si>
  <si>
    <t>1,81</t>
  </si>
  <si>
    <t>0,88</t>
  </si>
  <si>
    <t>0,23</t>
  </si>
  <si>
    <t>1,46</t>
  </si>
  <si>
    <t>2,27</t>
  </si>
  <si>
    <t>5,06</t>
  </si>
  <si>
    <t>0,14</t>
  </si>
  <si>
    <t>2,99</t>
  </si>
  <si>
    <t>0,06</t>
  </si>
  <si>
    <t>1,50</t>
  </si>
  <si>
    <t>1,70</t>
  </si>
  <si>
    <t>2,75</t>
  </si>
  <si>
    <t>1,52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</si>
</sst>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11"/>
      <color rgb="FFFF00FF"/>
      <name val="Aptos Narrow"/>
    </font>
    <font>
      <b/>
      <sz val="11"/>
      <color rgb="FF3366FF"/>
      <name val="Aptos Narrow"/>
    </font>
    <font>
      <b/>
      <sz val="11"/>
      <color rgb="FF008000"/>
      <name val="Aptos Narrow"/>
    </font>
    <font>
      <b/>
      <sz val="11"/>
      <color rgb="FFFF0000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2" tint="-9.9948118533890809E-2"/>
      </bottom>
      <diagonal/>
    </border>
    <border>
      <left/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164" fontId="2" fillId="0" borderId="1" xfId="1" applyNumberFormat="1" applyFont="1" applyBorder="1" applyProtection="1">
      <protection locked="0"/>
    </xf>
    <xf numFmtId="165" fontId="2" fillId="0" borderId="1" xfId="1" applyNumberFormat="1" applyFont="1" applyBorder="1" applyProtection="1">
      <protection locked="0"/>
    </xf>
    <xf numFmtId="0" fontId="5" fillId="5" borderId="0" xfId="0" applyFont="1" applyFill="1"/>
    <xf numFmtId="0" fontId="3" fillId="3" borderId="7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5" xfId="0" applyBorder="1"/>
    <xf numFmtId="0" fontId="0" fillId="0" borderId="11" xfId="0" applyBorder="1"/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0" fillId="0" borderId="3" xfId="0" applyBorder="1"/>
    <xf numFmtId="0" fontId="4" fillId="5" borderId="18" xfId="0" applyFont="1" applyFill="1" applyBorder="1"/>
    <xf numFmtId="0" fontId="4" fillId="5" borderId="19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2" fillId="6" borderId="9" xfId="0" applyFont="1" applyFill="1" applyBorder="1" applyAlignment="1" applyProtection="1">
      <alignment horizontal="center" vertical="center" wrapText="1" shrinkToFit="1"/>
      <protection hidden="1"/>
    </xf>
    <xf numFmtId="0" fontId="2" fillId="6" borderId="8" xfId="0" applyFont="1" applyFill="1" applyBorder="1" applyAlignment="1" applyProtection="1">
      <alignment horizontal="center" vertical="center" wrapText="1" shrinkToFit="1"/>
      <protection hidden="1"/>
    </xf>
    <xf numFmtId="164" fontId="2" fillId="0" borderId="2" xfId="1" applyNumberFormat="1" applyFont="1" applyBorder="1" applyProtection="1">
      <protection locked="0"/>
    </xf>
    <xf numFmtId="0" fontId="3" fillId="4" borderId="21" xfId="0" applyFont="1" applyFill="1" applyBorder="1" applyAlignment="1">
      <alignment horizontal="center"/>
    </xf>
    <xf numFmtId="166" fontId="11" fillId="0" borderId="22" xfId="1" applyNumberFormat="1" applyFont="1" applyBorder="1" applyProtection="1"/>
    <xf numFmtId="164" fontId="2" fillId="0" borderId="27" xfId="1" applyNumberFormat="1" applyFont="1" applyBorder="1" applyProtection="1">
      <protection locked="0"/>
    </xf>
    <xf numFmtId="165" fontId="2" fillId="0" borderId="27" xfId="1" applyNumberFormat="1" applyFont="1" applyBorder="1" applyProtection="1">
      <protection locked="0"/>
    </xf>
    <xf numFmtId="164" fontId="2" fillId="0" borderId="26" xfId="1" applyNumberFormat="1" applyFont="1" applyBorder="1" applyProtection="1">
      <protection locked="0"/>
    </xf>
    <xf numFmtId="164" fontId="2" fillId="0" borderId="29" xfId="1" applyNumberFormat="1" applyFont="1" applyBorder="1" applyProtection="1">
      <protection locked="0"/>
    </xf>
    <xf numFmtId="164" fontId="2" fillId="0" borderId="30" xfId="1" applyNumberFormat="1" applyFont="1" applyBorder="1" applyProtection="1">
      <protection locked="0"/>
    </xf>
    <xf numFmtId="165" fontId="2" fillId="0" borderId="30" xfId="1" applyNumberFormat="1" applyFont="1" applyBorder="1" applyProtection="1">
      <protection locked="0"/>
    </xf>
    <xf numFmtId="164" fontId="2" fillId="0" borderId="28" xfId="1" applyNumberFormat="1" applyFont="1" applyBorder="1" applyProtection="1">
      <protection locked="0"/>
    </xf>
    <xf numFmtId="166" fontId="11" fillId="0" borderId="24" xfId="1" applyNumberFormat="1" applyFont="1" applyBorder="1" applyProtection="1"/>
    <xf numFmtId="166" fontId="11" fillId="0" borderId="25" xfId="1" applyNumberFormat="1" applyFont="1" applyBorder="1" applyProtection="1"/>
    <xf numFmtId="166" fontId="11" fillId="0" borderId="23" xfId="1" applyNumberFormat="1" applyFont="1" applyBorder="1" applyProtection="1"/>
    <xf numFmtId="0" fontId="0" fillId="0" borderId="0" xfId="0" applyBorder="1"/>
    <xf numFmtId="0" fontId="12" fillId="5" borderId="0" xfId="0" applyFont="1" applyFill="1" applyAlignment="1" applyProtection="1">
      <alignment wrapText="1"/>
      <protection hidden="1"/>
    </xf>
    <xf numFmtId="2" fontId="15" fillId="5" borderId="0" xfId="0" applyNumberFormat="1" applyFont="1" applyFill="1" applyProtection="1">
      <protection locked="0"/>
    </xf>
    <xf numFmtId="2" fontId="17" fillId="0" borderId="0" xfId="0" applyNumberFormat="1" applyFont="1" applyFill="1" applyProtection="1">
      <protection locked="0"/>
    </xf>
    <xf numFmtId="0" fontId="16" fillId="0" borderId="0" xfId="0" applyFont="1" applyFill="1" applyProtection="1">
      <protection locked="0"/>
    </xf>
    <xf numFmtId="0" fontId="0" fillId="9" borderId="1" xfId="0" applyFill="1" applyBorder="1"/>
    <xf numFmtId="0" fontId="0" fillId="9" borderId="1" xfId="0" applyFill="1" applyBorder="1" applyAlignment="1">
      <alignment vertical="center"/>
    </xf>
    <xf numFmtId="0" fontId="0" fillId="9" borderId="3" xfId="0" applyFill="1" applyBorder="1"/>
    <xf numFmtId="4" fontId="0" fillId="9" borderId="1" xfId="0" applyNumberFormat="1" applyFill="1" applyBorder="1"/>
    <xf numFmtId="4" fontId="0" fillId="0" borderId="1" xfId="0" applyNumberFormat="1" applyBorder="1"/>
    <xf numFmtId="14" fontId="0" fillId="10" borderId="1" xfId="0" applyNumberFormat="1" applyFill="1" applyBorder="1"/>
    <xf numFmtId="0" fontId="0" fillId="10" borderId="1" xfId="0" applyFill="1" applyBorder="1"/>
    <xf numFmtId="0" fontId="0" fillId="10" borderId="1" xfId="0" applyFill="1" applyBorder="1" applyAlignment="1">
      <alignment vertical="center"/>
    </xf>
    <xf numFmtId="0" fontId="0" fillId="10" borderId="3" xfId="0" applyFill="1" applyBorder="1"/>
    <xf numFmtId="4" fontId="0" fillId="10" borderId="1" xfId="0" applyNumberFormat="1" applyFill="1" applyBorder="1"/>
    <xf numFmtId="14" fontId="0" fillId="9" borderId="1" xfId="0" applyNumberFormat="1" applyFill="1" applyBorder="1"/>
    <xf numFmtId="4" fontId="0" fillId="9" borderId="1" xfId="0" applyNumberFormat="1" applyFill="1" applyBorder="1" applyAlignment="1">
      <alignment horizontal="left"/>
    </xf>
    <xf numFmtId="0" fontId="0" fillId="10" borderId="1" xfId="0" applyNumberFormat="1" applyFill="1" applyBorder="1"/>
    <xf numFmtId="0" fontId="14" fillId="6" borderId="39" xfId="0" applyFont="1" applyFill="1" applyBorder="1" applyAlignment="1">
      <alignment horizontal="left" vertical="center"/>
    </xf>
    <xf numFmtId="0" fontId="14" fillId="6" borderId="40" xfId="0" applyFont="1" applyFill="1" applyBorder="1" applyAlignment="1">
      <alignment horizontal="left" vertical="center"/>
    </xf>
    <xf numFmtId="0" fontId="14" fillId="6" borderId="41" xfId="0" applyFont="1" applyFill="1" applyBorder="1" applyAlignment="1">
      <alignment horizontal="left" vertical="center"/>
    </xf>
    <xf numFmtId="0" fontId="13" fillId="6" borderId="31" xfId="0" applyFont="1" applyFill="1" applyBorder="1" applyAlignment="1">
      <alignment horizontal="left" vertical="top" wrapText="1"/>
    </xf>
    <xf numFmtId="0" fontId="13" fillId="6" borderId="32" xfId="0" applyFont="1" applyFill="1" applyBorder="1" applyAlignment="1">
      <alignment horizontal="left" vertical="top" wrapText="1"/>
    </xf>
    <xf numFmtId="0" fontId="13" fillId="6" borderId="33" xfId="0" applyFont="1" applyFill="1" applyBorder="1" applyAlignment="1">
      <alignment horizontal="left" vertical="top" wrapText="1"/>
    </xf>
    <xf numFmtId="0" fontId="13" fillId="6" borderId="34" xfId="0" applyFont="1" applyFill="1" applyBorder="1" applyAlignment="1">
      <alignment horizontal="left" vertical="top" wrapText="1"/>
    </xf>
    <xf numFmtId="0" fontId="13" fillId="6" borderId="0" xfId="0" applyFont="1" applyFill="1" applyAlignment="1">
      <alignment horizontal="left" vertical="top" wrapText="1"/>
    </xf>
    <xf numFmtId="0" fontId="13" fillId="6" borderId="35" xfId="0" applyFont="1" applyFill="1" applyBorder="1" applyAlignment="1">
      <alignment horizontal="left" vertical="top" wrapText="1"/>
    </xf>
    <xf numFmtId="0" fontId="13" fillId="6" borderId="36" xfId="0" applyFont="1" applyFill="1" applyBorder="1" applyAlignment="1">
      <alignment horizontal="left" vertical="top" wrapText="1"/>
    </xf>
    <xf numFmtId="0" fontId="13" fillId="6" borderId="37" xfId="0" applyFont="1" applyFill="1" applyBorder="1" applyAlignment="1">
      <alignment horizontal="left" vertical="top" wrapText="1"/>
    </xf>
    <xf numFmtId="0" fontId="13" fillId="6" borderId="38" xfId="0" applyFont="1" applyFill="1" applyBorder="1" applyAlignment="1">
      <alignment horizontal="left" vertical="top" wrapText="1"/>
    </xf>
    <xf numFmtId="0" fontId="6" fillId="4" borderId="17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4" xfId="0" applyFont="1" applyFill="1" applyBorder="1" applyAlignment="1" applyProtection="1">
      <alignment horizontal="center"/>
      <protection locked="0"/>
    </xf>
    <xf numFmtId="0" fontId="8" fillId="8" borderId="16" xfId="0" applyFont="1" applyFill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 hidden="1"/>
    </xf>
    <xf numFmtId="0" fontId="3" fillId="0" borderId="15" xfId="0" applyFont="1" applyBorder="1" applyAlignment="1" applyProtection="1">
      <alignment horizontal="center"/>
      <protection locked="0" hidden="1"/>
    </xf>
    <xf numFmtId="0" fontId="3" fillId="0" borderId="16" xfId="0" applyFont="1" applyBorder="1" applyAlignment="1" applyProtection="1">
      <alignment horizontal="center"/>
      <protection locked="0" hidden="1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</cellXfs>
  <cellStyles count="2">
    <cellStyle name="Millares" xfId="1" builtinId="3"/>
    <cellStyle name="Normal" xfId="0" builtinId="0"/>
  </cellStyles>
  <dxfs count="15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14</xdr:row>
          <xdr:rowOff>228600</xdr:rowOff>
        </xdr:from>
        <xdr:to>
          <xdr:col>5</xdr:col>
          <xdr:colOff>342900</xdr:colOff>
          <xdr:row>17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15</xdr:row>
          <xdr:rowOff>0</xdr:rowOff>
        </xdr:from>
        <xdr:to>
          <xdr:col>3</xdr:col>
          <xdr:colOff>304800</xdr:colOff>
          <xdr:row>17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3366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120650</xdr:colOff>
      <xdr:row>5</xdr:row>
      <xdr:rowOff>41909</xdr:rowOff>
    </xdr:from>
    <xdr:to>
      <xdr:col>1</xdr:col>
      <xdr:colOff>1347470</xdr:colOff>
      <xdr:row>7</xdr:row>
      <xdr:rowOff>201930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473075" y="1089659"/>
          <a:ext cx="1226820" cy="63627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14</xdr:row>
          <xdr:rowOff>247650</xdr:rowOff>
        </xdr:from>
        <xdr:to>
          <xdr:col>1</xdr:col>
          <xdr:colOff>1019175</xdr:colOff>
          <xdr:row>17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228600</xdr:rowOff>
        </xdr:from>
        <xdr:to>
          <xdr:col>8</xdr:col>
          <xdr:colOff>9525</xdr:colOff>
          <xdr:row>17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293370</xdr:colOff>
      <xdr:row>44</xdr:row>
      <xdr:rowOff>85725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1055370" y="8947785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1055370" y="8947785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Z999"/>
  <sheetViews>
    <sheetView zoomScaleNormal="100" workbookViewId="0">
      <selection activeCell="C14" sqref="C14"/>
    </sheetView>
  </sheetViews>
  <sheetFormatPr baseColWidth="10" defaultColWidth="11.5" defaultRowHeight="18"/>
  <cols>
    <col min="1" max="1" width="4.625" style="6" customWidth="1"/>
    <col min="2" max="2" width="19.125" style="6" bestFit="1" customWidth="1"/>
    <col min="3" max="3" width="9.75" style="6" bestFit="1" customWidth="1"/>
    <col min="4" max="4" width="7.375" style="6" bestFit="1" customWidth="1"/>
    <col min="5" max="5" width="10" style="6" bestFit="1" customWidth="1"/>
    <col min="6" max="6" width="6.875" style="6" bestFit="1" customWidth="1"/>
    <col min="7" max="7" width="5.875" style="6" bestFit="1" customWidth="1"/>
    <col min="8" max="8" width="10" style="6" bestFit="1" customWidth="1"/>
    <col min="9" max="9" width="5.5" style="48" customWidth="1"/>
    <col min="10" max="17" width="5.625" style="6" customWidth="1"/>
    <col min="18" max="20" width="11.5" style="6"/>
    <col min="21" max="26" width="11.5" style="5"/>
    <col min="27" max="16384" width="11.5" style="6"/>
  </cols>
  <sheetData>
    <row r="1" spans="1:20" ht="18.75" thickBot="1">
      <c r="A1" s="5"/>
      <c r="B1" s="5"/>
      <c r="C1" s="5"/>
      <c r="D1" s="5"/>
      <c r="E1" s="5"/>
      <c r="F1" s="5"/>
      <c r="G1" s="5"/>
      <c r="H1" s="5"/>
      <c r="I1" s="46">
        <v>0.76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ht="15.6" customHeight="1" thickTop="1">
      <c r="A2" s="5"/>
      <c r="B2" s="29" t="s">
        <v>70</v>
      </c>
      <c r="C2" s="5"/>
      <c r="D2" s="5"/>
      <c r="E2" s="5"/>
      <c r="F2" s="5"/>
      <c r="G2" s="5"/>
      <c r="H2" s="5"/>
      <c r="I2" s="46">
        <v>0.76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 ht="15.6" customHeight="1">
      <c r="A3" s="5"/>
      <c r="B3" s="30" t="s">
        <v>71</v>
      </c>
      <c r="C3" s="5"/>
      <c r="D3" s="5"/>
      <c r="E3" s="5"/>
      <c r="F3" s="5"/>
      <c r="G3" s="5"/>
      <c r="H3" s="5"/>
      <c r="I3" s="46">
        <v>0.38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 ht="15.6" customHeight="1">
      <c r="A4" s="5"/>
      <c r="B4" s="30" t="s">
        <v>69</v>
      </c>
      <c r="C4" s="45" t="str">
        <f>"** Estudio: "&amp;$C$7&amp;" **"&amp;CHAR(10)&amp;"Peso del paciente: "&amp;$G$6&amp;"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"&amp;$F$8&amp;"; Pos: "&amp;F$9&amp;"; kV: "&amp;F$10&amp;"; mAs: "&amp;F$11&amp;"; Img Apr: "&amp;F$12&amp;"; Img Rech: "&amp;F$13&amp;"; Dosis: "&amp;F$14&amp;" mGy","")&amp;
IF(G$14&lt;&gt;0,CHAR(10)&amp;"Dist: "&amp;$F$8&amp;"; Pos: "&amp;G$9&amp;"; kV: "&amp;G$10&amp;"; mAs: "&amp;G$11&amp;"; Img Apr: "&amp;G$12&amp;"; Img Rech: "&amp;G$13&amp;"; Dosis: "&amp;G$14&amp;" mGy","")&amp;
IF(H$14&lt;&gt;0,CHAR(10)&amp;"Dist: "&amp;$F$8&amp;"; Pos: "&amp;H$9&amp;"; kV: "&amp;H$10&amp;"; mAs: "&amp;H$11&amp;"; Img Apr: "&amp;H$12&amp;"; Img Rech: "&amp;H$13&amp;"; Dosis: "&amp;H$14&amp;" mGy","")&amp;
CHAR(10)&amp;"**Dosis total: "&amp;(C$14+D$14+E$14+F$14+G$14+H$14)&amp;" mGy**"</f>
        <v>** Estudio: Tórax **
Peso del paciente: 75 Kg
Dist: Bucky; Pos: LAT; kV: 80; mAs: 7,2; Img Apr: 1; Img Rech: 0; Dosis: 0,22 mGy
**Dosis total: 0,22 mGy**</v>
      </c>
      <c r="D4" s="5"/>
      <c r="E4" s="5"/>
      <c r="F4" s="5"/>
      <c r="G4" s="5"/>
      <c r="H4" s="5"/>
      <c r="I4" s="46">
        <v>1.7000000000000002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8.75" thickBot="1">
      <c r="A5" s="5"/>
      <c r="B5" s="20"/>
      <c r="C5" s="20"/>
      <c r="D5" s="20"/>
      <c r="E5" s="20"/>
      <c r="F5" s="20"/>
      <c r="G5" s="20"/>
      <c r="H5" s="20"/>
      <c r="I5" s="46">
        <v>2.75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8.600000000000001" customHeight="1" thickTop="1">
      <c r="A6" s="21">
        <v>740</v>
      </c>
      <c r="B6" s="74"/>
      <c r="C6" s="76" t="s">
        <v>52</v>
      </c>
      <c r="D6" s="77"/>
      <c r="E6" s="77"/>
      <c r="F6" s="78"/>
      <c r="G6" s="79">
        <v>75</v>
      </c>
      <c r="H6" s="80"/>
      <c r="I6" s="46">
        <v>2.75</v>
      </c>
      <c r="J6" s="65"/>
      <c r="K6" s="66"/>
      <c r="L6" s="66"/>
      <c r="M6" s="66"/>
      <c r="N6" s="66"/>
      <c r="O6" s="66"/>
      <c r="P6" s="66"/>
      <c r="Q6" s="66"/>
      <c r="R6" s="66"/>
      <c r="S6" s="67"/>
      <c r="T6" s="5"/>
    </row>
    <row r="7" spans="1:20" ht="19.5" customHeight="1">
      <c r="A7" s="21"/>
      <c r="B7" s="74"/>
      <c r="C7" s="81" t="s">
        <v>51</v>
      </c>
      <c r="D7" s="82"/>
      <c r="E7" s="82"/>
      <c r="F7" s="82"/>
      <c r="G7" s="82"/>
      <c r="H7" s="83"/>
      <c r="I7" s="46">
        <v>0</v>
      </c>
      <c r="J7" s="68"/>
      <c r="K7" s="69"/>
      <c r="L7" s="69"/>
      <c r="M7" s="69"/>
      <c r="N7" s="69"/>
      <c r="O7" s="69"/>
      <c r="P7" s="69"/>
      <c r="Q7" s="69"/>
      <c r="R7" s="69"/>
      <c r="S7" s="70"/>
      <c r="T7" s="5"/>
    </row>
    <row r="8" spans="1:20" ht="18.75" customHeight="1">
      <c r="A8" s="21"/>
      <c r="B8" s="75"/>
      <c r="C8" s="84" t="s">
        <v>3</v>
      </c>
      <c r="D8" s="85"/>
      <c r="E8" s="86"/>
      <c r="F8" s="87" t="s">
        <v>4</v>
      </c>
      <c r="G8" s="88"/>
      <c r="H8" s="89"/>
      <c r="I8" s="46">
        <v>0</v>
      </c>
      <c r="J8" s="68"/>
      <c r="K8" s="69"/>
      <c r="L8" s="69"/>
      <c r="M8" s="69"/>
      <c r="N8" s="69"/>
      <c r="O8" s="69"/>
      <c r="P8" s="69"/>
      <c r="Q8" s="69"/>
      <c r="R8" s="69"/>
      <c r="S8" s="70"/>
      <c r="T8" s="5"/>
    </row>
    <row r="9" spans="1:20">
      <c r="A9" s="21"/>
      <c r="B9" s="11" t="s">
        <v>8</v>
      </c>
      <c r="C9" s="4" t="s">
        <v>0</v>
      </c>
      <c r="D9" s="4" t="s">
        <v>1</v>
      </c>
      <c r="E9" s="2" t="s">
        <v>9</v>
      </c>
      <c r="F9" s="10" t="s">
        <v>0</v>
      </c>
      <c r="G9" s="3" t="s">
        <v>1</v>
      </c>
      <c r="H9" s="12" t="s">
        <v>9</v>
      </c>
      <c r="I9" s="46">
        <v>0</v>
      </c>
      <c r="J9" s="68"/>
      <c r="K9" s="69"/>
      <c r="L9" s="69"/>
      <c r="M9" s="69"/>
      <c r="N9" s="69"/>
      <c r="O9" s="69"/>
      <c r="P9" s="69"/>
      <c r="Q9" s="69"/>
      <c r="R9" s="69"/>
      <c r="S9" s="70"/>
      <c r="T9" s="5"/>
    </row>
    <row r="10" spans="1:20">
      <c r="A10" s="21"/>
      <c r="B10" s="11" t="s">
        <v>20</v>
      </c>
      <c r="C10" s="7">
        <v>80</v>
      </c>
      <c r="D10" s="7">
        <v>80</v>
      </c>
      <c r="E10" s="38">
        <v>0</v>
      </c>
      <c r="F10" s="7">
        <v>0</v>
      </c>
      <c r="G10" s="7">
        <v>0</v>
      </c>
      <c r="H10" s="34">
        <v>0</v>
      </c>
      <c r="I10" s="46">
        <v>0</v>
      </c>
      <c r="J10" s="68"/>
      <c r="K10" s="69"/>
      <c r="L10" s="69"/>
      <c r="M10" s="69"/>
      <c r="N10" s="69"/>
      <c r="O10" s="69"/>
      <c r="P10" s="69"/>
      <c r="Q10" s="69"/>
      <c r="R10" s="69"/>
      <c r="S10" s="70"/>
      <c r="T10" s="5"/>
    </row>
    <row r="11" spans="1:20">
      <c r="A11" s="21"/>
      <c r="B11" s="11" t="s">
        <v>11</v>
      </c>
      <c r="C11" s="8">
        <v>4</v>
      </c>
      <c r="D11" s="8">
        <v>7.2</v>
      </c>
      <c r="E11" s="39">
        <v>0</v>
      </c>
      <c r="F11" s="8">
        <v>0</v>
      </c>
      <c r="G11" s="8">
        <v>0</v>
      </c>
      <c r="H11" s="35">
        <v>0</v>
      </c>
      <c r="I11" s="46">
        <v>0</v>
      </c>
      <c r="J11" s="68"/>
      <c r="K11" s="69"/>
      <c r="L11" s="69"/>
      <c r="M11" s="69"/>
      <c r="N11" s="69"/>
      <c r="O11" s="69"/>
      <c r="P11" s="69"/>
      <c r="Q11" s="69"/>
      <c r="R11" s="69"/>
      <c r="S11" s="70"/>
      <c r="T11" s="5"/>
    </row>
    <row r="12" spans="1:20">
      <c r="A12" s="21"/>
      <c r="B12" s="11" t="s">
        <v>13</v>
      </c>
      <c r="C12" s="7">
        <v>1</v>
      </c>
      <c r="D12" s="7">
        <v>1</v>
      </c>
      <c r="E12" s="38">
        <v>0</v>
      </c>
      <c r="F12" s="7">
        <v>0</v>
      </c>
      <c r="G12" s="7">
        <v>0</v>
      </c>
      <c r="H12" s="34">
        <v>0</v>
      </c>
      <c r="I12" s="46">
        <v>0.28000000000000003</v>
      </c>
      <c r="J12" s="68"/>
      <c r="K12" s="69"/>
      <c r="L12" s="69"/>
      <c r="M12" s="69"/>
      <c r="N12" s="69"/>
      <c r="O12" s="69"/>
      <c r="P12" s="69"/>
      <c r="Q12" s="69"/>
      <c r="R12" s="69"/>
      <c r="S12" s="70"/>
      <c r="T12" s="5"/>
    </row>
    <row r="13" spans="1:20">
      <c r="A13" s="21"/>
      <c r="B13" s="11" t="s">
        <v>15</v>
      </c>
      <c r="C13" s="31">
        <v>0</v>
      </c>
      <c r="D13" s="31">
        <v>0</v>
      </c>
      <c r="E13" s="40">
        <v>0</v>
      </c>
      <c r="F13" s="37">
        <v>0</v>
      </c>
      <c r="G13" s="31">
        <v>0</v>
      </c>
      <c r="H13" s="36">
        <v>0</v>
      </c>
      <c r="I13" s="46">
        <v>0.25</v>
      </c>
      <c r="J13" s="68"/>
      <c r="K13" s="69"/>
      <c r="L13" s="69"/>
      <c r="M13" s="69"/>
      <c r="N13" s="69"/>
      <c r="O13" s="69"/>
      <c r="P13" s="69"/>
      <c r="Q13" s="69"/>
      <c r="R13" s="69"/>
      <c r="S13" s="70"/>
      <c r="T13" s="5"/>
    </row>
    <row r="14" spans="1:20" ht="18.75" thickBot="1">
      <c r="A14" s="21"/>
      <c r="B14" s="32" t="s">
        <v>16</v>
      </c>
      <c r="C14" s="33"/>
      <c r="D14" s="33">
        <f>IF(AND(G6&gt;=45,G6&lt;55),ROUND(($D$12+$D$13)*1.4*Parametros!B44*POWER($D$10,Parametros!C44)*D11*POWER(100/(VLOOKUP($C$7,Parametros!$B$4:$G$38,5,FALSE)-VLOOKUP($C$7,Parametros!$B$4:$D$38,3,FALSE)),2)/1000,2),
IF(AND(G6&gt;=55,G6&lt;65),ROUND(($D$12+$D$13)*1.4*Parametros!B44*POWER($D$10,Parametros!C44)*D11*POWER(100/(VLOOKUP($C$7,Parametros!$I$4:$N$38,5,FALSE)-VLOOKUP($C$7,Parametros!$I$4:$K$38,3,FALSE)),2)/1000,2),
IF(AND(G6&gt;=65,G6&lt;75),ROUND(($D$12+$D$13)*1.4*Parametros!B44*POWER($D$10,Parametros!C44)*D11*POWER(100/(VLOOKUP($C$7,Parametros!$P$4:$U$38,5,FALSE)-VLOOKUP($C$7,Parametros!$P$4:$R$38,3,FALSE)),2)/1000,2),
IF(AND(G6&gt;=75,G6&lt;85),ROUND(($D$12+$D$13)*1.4*Parametros!B44*POWER($D$10,Parametros!C44)*D11*POWER(100/(VLOOKUP($C$7,Parametros!$W$4:$AB$38,5,FALSE)-VLOOKUP($C$7,Parametros!$W$4:$Y$38,3,FALSE)),2)/1000,2),
IF(AND(G6&gt;=85,G6&lt;95),ROUND(($D$12+$D$13)*1.4*Parametros!B44*POWER($D$10,Parametros!C44)*D11*POWER(100/(VLOOKUP($C$7,Parametros!$AD$4:$AI$38,5,FALSE)-VLOOKUP($C$7,Parametros!$AD$4:$AF$38,3,FALSE)),2)/1000,2),
IF(AND(G6&gt;=95,G6&lt;105),ROUND(($D$12+$D$13)*1.4*Parametros!B44*POWER($D$10,Parametros!C44)*D11*POWER(100/(VLOOKUP($C$7,Parametros!$AK$4:$AP$38,5,FALSE)-VLOOKUP($C$7,Parametros!$AK$4:$AM$38,3,FALSE)),2)/1000,2),
IF(AND(G6&gt;=105,G6&lt;115),ROUND(($D$12+$D$13)*1.4*Parametros!B44*POWER($D$10,Parametros!C44)*D11*POWER(100/(VLOOKUP($C$7,Parametros!$AR$4:$AW$38,5,FALSE)-VLOOKUP($C$7,Parametros!$AR$4:$AT$38,3,FALSE)),2)/1000,2),
IF(AND(G6&gt;=115,G6&lt;=125),ROUND(($D$12+$D$13)*1.4*Parametros!B44*POWER($D$10,Parametros!C44)*D11*POWER(100/(VLOOKUP($C$7,Parametros!$AY$4:$BD$38,5,FALSE)-VLOOKUP($C$7,Parametros!$AY$4:$BA$38,3,FALSE)),2)/1000,2),IF(G6=0,"","X")))))))))</f>
        <v>0.22</v>
      </c>
      <c r="E14" s="41"/>
      <c r="F14" s="42">
        <f>IF(AND(G6&gt;=45,G6&lt;55),ROUND(($F$12+$F$13)*1.4*Parametros!B44*POWER($F$10,Parametros!C44)*F11*POWER(100/(VLOOKUP($C$7,Parametros!$B$4:$G$38,6,FALSE)-VLOOKUP($C$7,Parametros!$B$4:$C$38,2,FALSE)),2)/1000,2),
IF(AND(G6&gt;=55,G6&lt;65),ROUND(($F$12+$F$13)*1.4*Parametros!B44*POWER($F$10,Parametros!C44)*F11*POWER(100/(VLOOKUP($C$7,Parametros!$I$4:$N$38,6,FALSE)-VLOOKUP($C$7,Parametros!$I$4:$J$38,2,FALSE)),2)/1000,2),
IF(AND(G6&gt;=65,G6&lt;75),ROUND(($F$12+$F$13)*1.4*Parametros!B44*POWER($F$10,Parametros!C44)*F11*POWER(100/(VLOOKUP($C$7,Parametros!$P$4:$U$38,6,FALSE)-VLOOKUP($C$7,Parametros!$P$4:$Q$38,2,FALSE)),2)/1000,2),
IF(AND(G6&gt;=75,G6&lt;85),ROUND(($F$12+$F$13)*1.4*Parametros!B44*POWER($F$10,Parametros!C44)*F11*POWER(100/(VLOOKUP($C$7,Parametros!$W$4:$AB$38,6,FALSE)-VLOOKUP($C$7,Parametros!$W$4:$X$38,2,FALSE)),2)/1000,2),
IF(AND(G6&gt;=85,G6&lt;95),ROUND(($F$12+$F$13)*1.4*Parametros!B44*POWER($F$10,Parametros!C44)*F11*POWER(100/(VLOOKUP($C$7,Parametros!$AD$4:$AI$38,6,FALSE)-VLOOKUP($C$7,Parametros!$AD$4:$AE$38,2,FALSE)),2)/1000,2),
IF(AND(G6&gt;=95,G6&lt;105),ROUND(($F$12+$F$13)*1.4*Parametros!B44*POWER($F$10,Parametros!C44)*F11*POWER(100/(VLOOKUP($C$7,Parametros!$AK$4:$AP$38,6,FALSE)-VLOOKUP($C$7,Parametros!$AK$4:$AL$38,2,FALSE)),2)/1000,2),
IF(AND(G6&gt;=105,G6&lt;115),ROUND(($F$12+$F$13)*1.4*Parametros!B44*POWER($F$10,Parametros!C44)*F11*POWER(100/(VLOOKUP($C$7,Parametros!$AR$4:$AW$38,6,FALSE)-VLOOKUP($C$7,Parametros!$AR$4:$AS$38,2,FALSE)),2)/1000,2),
IF(AND(G6&gt;=115,G6&lt;=125),ROUND(($F$12+$F$13)*1.4*Parametros!B44*POWER($F$10,Parametros!C44)*F11*POWER(100/(VLOOKUP($C$7,Parametros!$AY$4:$BD$38,6,FALSE)-VLOOKUP($C$7,Parametros!$AY$4:$AZ$38,2,FALSE)),2)/1000,2),IF(G6=0,"","X")))))))))</f>
        <v>0</v>
      </c>
      <c r="G14" s="33">
        <f>IF(AND(G6&gt;=45,G6&lt;55),ROUND(($G$12+$G$13)*1.4*Parametros!B44*POWER($G$10,Parametros!C44)*G11*POWER(100/(VLOOKUP($C$7,Parametros!$B$4:$G$38,6,FALSE)-VLOOKUP($C$7,Parametros!$B$4:$D$38,3,FALSE)),2)/1000,2),
IF(AND(G6&gt;=55,G6&lt;65),ROUND(($G$12+$G$13)*1.4*Parametros!B44*POWER($G$10,Parametros!C44)*G11*POWER(100/(VLOOKUP($C$7,Parametros!$I$4:$N$38,6,FALSE)-VLOOKUP($C$7,Parametros!$I$4:$K$38,3,FALSE)),2)/1000,2),
IF(AND(G6&gt;=65,G6&lt;75),ROUND(($G$12+$G$13)*1.4*Parametros!B44*POWER($G$10,Parametros!C44)*G11*POWER(100/(VLOOKUP($C$7,Parametros!$P$4:$U$38,6,FALSE)-VLOOKUP($C$7,Parametros!$P$4:$R$38,3,FALSE)),2)/1000,2),
IF(AND(G6&gt;=75,G6&lt;85),ROUND(($G$12+$G$13)*1.4*Parametros!B44*POWER($G$10,Parametros!C44)*G11*POWER(100/(VLOOKUP($C$7,Parametros!$W$4:$AB$38,6,FALSE)-VLOOKUP($C$7,Parametros!$W$4:$Y$38,3,FALSE)),2)/1000,2),
IF(AND(G6&gt;=85,G6&lt;95),ROUND(($G$12+$G$13)*1.4*Parametros!B44*POWER($G$10,Parametros!C44)*G11*POWER(100/(VLOOKUP($C$7,Parametros!$AD$4:$AI$38,6,FALSE)-VLOOKUP($C$7,Parametros!$AD$4:$AF$38,3,FALSE)),2)/1000,2),
IF(AND(G6&gt;=95,G6&lt;105),ROUND(($G$12+$G$13)*1.4*Parametros!B44*POWER($G$10,Parametros!C44)*G11*POWER(100/(VLOOKUP($C$7,Parametros!$AK$4:$AP$38,6,FALSE)-VLOOKUP($C$7,Parametros!$AK$4:$AM$38,3,FALSE)),2)/1000,2),
IF(AND(G6&gt;=105,G6&lt;115),ROUND(($G$12+$G$13)*1.4*Parametros!B44*POWER($G$10,Parametros!C44)*G11*POWER(100/(VLOOKUP($C$7,Parametros!$AR$4:$AW$38,6,FALSE)-VLOOKUP($C$7,Parametros!$AR$4:$AT$38,3,FALSE)),2)/1000,2),
IF(AND(G6&gt;=115,G6&lt;=125),ROUND(($G$12+$G$13)*1.4*Parametros!B44*POWER($G$10,Parametros!C44)*G11*POWER(100/(VLOOKUP($C$7,Parametros!$AY$4:$BD$38,6,FALSE)-VLOOKUP($C$7,Parametros!$AY$4:$BA$38,3,FALSE)),2)/1000,2),IF(G6=0,"","X")))))))))</f>
        <v>0</v>
      </c>
      <c r="H14" s="43"/>
      <c r="I14" s="46">
        <v>0.14000000000000001</v>
      </c>
      <c r="J14" s="68"/>
      <c r="K14" s="69"/>
      <c r="L14" s="69"/>
      <c r="M14" s="69"/>
      <c r="N14" s="69"/>
      <c r="O14" s="69"/>
      <c r="P14" s="69"/>
      <c r="Q14" s="69"/>
      <c r="R14" s="69"/>
      <c r="S14" s="70"/>
      <c r="T14" s="5"/>
    </row>
    <row r="15" spans="1:20" ht="19.5" thickTop="1">
      <c r="A15" s="5"/>
      <c r="B15" s="9"/>
      <c r="C15" s="9"/>
      <c r="D15" s="9"/>
      <c r="E15" s="9"/>
      <c r="F15" s="9"/>
      <c r="G15" s="9"/>
      <c r="H15" s="9"/>
      <c r="I15" s="46">
        <v>0.1</v>
      </c>
      <c r="J15" s="68"/>
      <c r="K15" s="69"/>
      <c r="L15" s="69"/>
      <c r="M15" s="69"/>
      <c r="N15" s="69"/>
      <c r="O15" s="69"/>
      <c r="P15" s="69"/>
      <c r="Q15" s="69"/>
      <c r="R15" s="69"/>
      <c r="S15" s="70"/>
      <c r="T15" s="5"/>
    </row>
    <row r="16" spans="1:20">
      <c r="A16" s="5"/>
      <c r="B16" s="5"/>
      <c r="C16" s="5"/>
      <c r="D16" s="5"/>
      <c r="E16" s="5"/>
      <c r="F16" s="5"/>
      <c r="G16" s="5"/>
      <c r="H16" s="5"/>
      <c r="I16" s="46">
        <v>1.52</v>
      </c>
      <c r="J16" s="68"/>
      <c r="K16" s="69"/>
      <c r="L16" s="69"/>
      <c r="M16" s="69"/>
      <c r="N16" s="69"/>
      <c r="O16" s="69"/>
      <c r="P16" s="69"/>
      <c r="Q16" s="69"/>
      <c r="R16" s="69"/>
      <c r="S16" s="70"/>
      <c r="T16" s="5"/>
    </row>
    <row r="17" spans="1:20" ht="18.75" thickBot="1">
      <c r="A17" s="5"/>
      <c r="B17" s="5"/>
      <c r="C17" s="5"/>
      <c r="D17" s="5"/>
      <c r="E17" s="5"/>
      <c r="F17" s="5"/>
      <c r="G17" s="5"/>
      <c r="H17" s="5"/>
      <c r="I17" s="46">
        <v>0.16</v>
      </c>
      <c r="J17" s="71"/>
      <c r="K17" s="72"/>
      <c r="L17" s="72"/>
      <c r="M17" s="72"/>
      <c r="N17" s="72"/>
      <c r="O17" s="72"/>
      <c r="P17" s="72"/>
      <c r="Q17" s="72"/>
      <c r="R17" s="72"/>
      <c r="S17" s="73"/>
      <c r="T17" s="5"/>
    </row>
    <row r="18" spans="1:20" ht="19.5" thickTop="1" thickBot="1">
      <c r="A18" s="5"/>
      <c r="B18" s="5"/>
      <c r="C18" s="5"/>
      <c r="D18" s="5"/>
      <c r="E18" s="5"/>
      <c r="F18" s="5"/>
      <c r="G18" s="5"/>
      <c r="H18" s="5"/>
      <c r="I18" s="46">
        <v>0.14000000000000001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19.5" thickTop="1" thickBot="1">
      <c r="A19" s="5"/>
      <c r="B19" s="5"/>
      <c r="C19" s="5"/>
      <c r="D19" s="5"/>
      <c r="E19" s="5"/>
      <c r="F19" s="5"/>
      <c r="G19" s="5"/>
      <c r="H19" s="5"/>
      <c r="I19" s="46">
        <v>0.14000000000000001</v>
      </c>
      <c r="J19" s="62" t="s">
        <v>72</v>
      </c>
      <c r="K19" s="63"/>
      <c r="L19" s="63"/>
      <c r="M19" s="63"/>
      <c r="N19" s="64"/>
      <c r="O19" s="5"/>
      <c r="P19" s="5"/>
      <c r="Q19" s="5"/>
      <c r="R19" s="5"/>
      <c r="S19" s="5"/>
      <c r="T19" s="5"/>
    </row>
    <row r="20" spans="1:20" ht="18.75" thickTop="1">
      <c r="A20" s="5"/>
      <c r="B20" s="5"/>
      <c r="C20" s="5"/>
      <c r="D20" s="5"/>
      <c r="E20" s="5"/>
      <c r="F20" s="5"/>
      <c r="G20" s="5"/>
      <c r="H20" s="5"/>
      <c r="I20" s="46">
        <v>4.01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5"/>
      <c r="C21" s="5"/>
      <c r="D21" s="5"/>
      <c r="E21" s="5"/>
      <c r="F21" s="5"/>
      <c r="G21" s="5"/>
      <c r="H21" s="5"/>
      <c r="I21" s="46">
        <v>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5"/>
      <c r="C22" s="5"/>
      <c r="D22" s="5"/>
      <c r="E22" s="5"/>
      <c r="F22" s="5"/>
      <c r="G22" s="5"/>
      <c r="H22" s="5"/>
      <c r="I22" s="46">
        <v>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>
      <c r="A23" s="5"/>
      <c r="B23" s="5"/>
      <c r="C23" s="5"/>
      <c r="D23" s="5"/>
      <c r="E23" s="5"/>
      <c r="F23" s="5"/>
      <c r="G23" s="5"/>
      <c r="H23" s="5"/>
      <c r="I23" s="46">
        <v>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5"/>
      <c r="B24" s="5"/>
      <c r="C24" s="5"/>
      <c r="D24" s="5"/>
      <c r="E24" s="5"/>
      <c r="F24" s="5"/>
      <c r="G24" s="5"/>
      <c r="H24" s="5"/>
      <c r="I24" s="46">
        <v>0.3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>
      <c r="A25" s="5"/>
      <c r="B25" s="5"/>
      <c r="C25" s="5"/>
      <c r="D25" s="5"/>
      <c r="E25" s="5"/>
      <c r="F25" s="5"/>
      <c r="G25" s="5"/>
      <c r="H25" s="5"/>
      <c r="I25" s="4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5"/>
      <c r="B26" s="5"/>
      <c r="C26" s="5"/>
      <c r="D26" s="5"/>
      <c r="E26" s="5"/>
      <c r="F26" s="5"/>
      <c r="G26" s="5"/>
      <c r="H26" s="5"/>
      <c r="I26" s="46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>
      <c r="A27" s="5"/>
      <c r="B27" s="5"/>
      <c r="C27" s="5"/>
      <c r="D27" s="5"/>
      <c r="E27" s="5"/>
      <c r="F27" s="5"/>
      <c r="G27" s="5"/>
      <c r="H27" s="5"/>
      <c r="I27" s="46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>
      <c r="A28" s="5"/>
      <c r="B28" s="5"/>
      <c r="C28" s="5"/>
      <c r="D28" s="5"/>
      <c r="E28" s="5"/>
      <c r="F28" s="5"/>
      <c r="G28" s="5"/>
      <c r="H28" s="5"/>
      <c r="I28" s="46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>
      <c r="A29" s="5"/>
      <c r="B29" s="5"/>
      <c r="C29" s="5"/>
      <c r="D29" s="5"/>
      <c r="E29" s="5"/>
      <c r="F29" s="5"/>
      <c r="G29" s="5"/>
      <c r="H29" s="5"/>
      <c r="I29" s="46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>
      <c r="A30" s="5"/>
      <c r="B30" s="5"/>
      <c r="C30" s="5"/>
      <c r="D30" s="5"/>
      <c r="E30" s="5"/>
      <c r="F30" s="5"/>
      <c r="G30" s="5"/>
      <c r="H30" s="5"/>
      <c r="I30" s="46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>
      <c r="A31" s="5"/>
      <c r="B31" s="5"/>
      <c r="C31" s="5"/>
      <c r="D31" s="5"/>
      <c r="E31" s="5"/>
      <c r="F31" s="5"/>
      <c r="G31" s="5"/>
      <c r="H31" s="5"/>
      <c r="I31" s="46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5"/>
      <c r="B32" s="5"/>
      <c r="C32" s="5"/>
      <c r="D32" s="5"/>
      <c r="E32" s="5"/>
      <c r="F32" s="5"/>
      <c r="G32" s="5"/>
      <c r="H32" s="5"/>
      <c r="I32" s="46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>
      <c r="A33" s="5"/>
      <c r="B33" s="5"/>
      <c r="C33" s="5"/>
      <c r="D33" s="5"/>
      <c r="E33" s="5"/>
      <c r="F33" s="5"/>
      <c r="G33" s="5"/>
      <c r="H33" s="5"/>
      <c r="I33" s="4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>
      <c r="A34" s="5"/>
      <c r="B34" s="5"/>
      <c r="C34" s="5"/>
      <c r="D34" s="5"/>
      <c r="E34" s="5"/>
      <c r="F34" s="5"/>
      <c r="G34" s="5"/>
      <c r="H34" s="5"/>
      <c r="I34" s="46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>
      <c r="A35" s="5"/>
      <c r="B35" s="5"/>
      <c r="C35" s="5"/>
      <c r="D35" s="5"/>
      <c r="E35" s="5"/>
      <c r="F35" s="5"/>
      <c r="G35" s="5"/>
      <c r="H35" s="5"/>
      <c r="I35" s="46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>
      <c r="A36" s="5"/>
      <c r="B36" s="5"/>
      <c r="C36" s="5"/>
      <c r="D36" s="5"/>
      <c r="E36" s="5"/>
      <c r="F36" s="5"/>
      <c r="G36" s="5"/>
      <c r="H36" s="5"/>
      <c r="I36" s="46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>
      <c r="A37" s="5"/>
      <c r="B37" s="5"/>
      <c r="C37" s="5"/>
      <c r="D37" s="5"/>
      <c r="E37" s="5"/>
      <c r="F37" s="5"/>
      <c r="G37" s="5"/>
      <c r="H37" s="5"/>
      <c r="I37" s="46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>
      <c r="A38" s="5"/>
      <c r="B38" s="5"/>
      <c r="C38" s="5"/>
      <c r="D38" s="5"/>
      <c r="E38" s="5"/>
      <c r="F38" s="5"/>
      <c r="G38" s="5"/>
      <c r="H38" s="5"/>
      <c r="I38" s="46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>
      <c r="A39" s="5"/>
      <c r="B39" s="5"/>
      <c r="C39" s="5"/>
      <c r="D39" s="5"/>
      <c r="E39" s="5"/>
      <c r="F39" s="5"/>
      <c r="G39" s="5"/>
      <c r="H39" s="5"/>
      <c r="I39" s="46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>
      <c r="A40" s="5"/>
      <c r="B40" s="5"/>
      <c r="C40" s="5"/>
      <c r="D40" s="5"/>
      <c r="E40" s="5"/>
      <c r="F40" s="5"/>
      <c r="G40" s="5"/>
      <c r="H40" s="5"/>
      <c r="I40" s="46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5"/>
      <c r="B41" s="5"/>
      <c r="C41" s="5"/>
      <c r="D41" s="5"/>
      <c r="E41" s="5"/>
      <c r="F41" s="5"/>
      <c r="G41" s="5"/>
      <c r="H41" s="5"/>
      <c r="I41" s="4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5"/>
      <c r="B42" s="5"/>
      <c r="C42" s="5"/>
      <c r="D42" s="5"/>
      <c r="E42" s="5"/>
      <c r="F42" s="5"/>
      <c r="G42" s="5"/>
      <c r="H42" s="5"/>
      <c r="I42" s="46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>
      <c r="A43" s="5"/>
      <c r="B43" s="5"/>
      <c r="C43" s="5"/>
      <c r="D43" s="5"/>
      <c r="E43" s="5"/>
      <c r="F43" s="5"/>
      <c r="G43" s="5"/>
      <c r="H43" s="5"/>
      <c r="I43" s="46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>
      <c r="A44" s="5"/>
      <c r="B44" s="5"/>
      <c r="C44" s="5"/>
      <c r="D44" s="5"/>
      <c r="E44" s="5"/>
      <c r="F44" s="5"/>
      <c r="G44" s="5"/>
      <c r="H44" s="5"/>
      <c r="I44" s="46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>
      <c r="A45" s="5"/>
      <c r="B45" s="5"/>
      <c r="C45" s="5"/>
      <c r="D45" s="5"/>
      <c r="E45" s="5"/>
      <c r="F45" s="5"/>
      <c r="G45" s="5"/>
      <c r="H45" s="5"/>
      <c r="I45" s="46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>
      <c r="A46" s="5"/>
      <c r="B46" s="5"/>
      <c r="C46" s="5"/>
      <c r="D46" s="5"/>
      <c r="E46" s="5"/>
      <c r="F46" s="5"/>
      <c r="G46" s="5"/>
      <c r="H46" s="5"/>
      <c r="I46" s="46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>
      <c r="A47" s="5"/>
      <c r="B47" s="5"/>
      <c r="C47" s="5"/>
      <c r="D47" s="5"/>
      <c r="E47" s="5"/>
      <c r="F47" s="5"/>
      <c r="G47" s="5"/>
      <c r="H47" s="5"/>
      <c r="I47" s="46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5"/>
      <c r="C48" s="5"/>
      <c r="D48" s="5"/>
      <c r="E48" s="5"/>
      <c r="F48" s="5"/>
      <c r="G48" s="5"/>
      <c r="H48" s="5"/>
      <c r="I48" s="46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>
      <c r="A49" s="5"/>
      <c r="B49" s="5"/>
      <c r="C49" s="5"/>
      <c r="D49" s="5"/>
      <c r="E49" s="5"/>
      <c r="F49" s="5"/>
      <c r="G49" s="5"/>
      <c r="H49" s="5"/>
      <c r="I49" s="4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>
      <c r="A50" s="5"/>
      <c r="B50" s="5"/>
      <c r="C50" s="5"/>
      <c r="D50" s="5"/>
      <c r="E50" s="5"/>
      <c r="F50" s="5"/>
      <c r="G50" s="5"/>
      <c r="H50" s="5"/>
      <c r="I50" s="46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>
      <c r="A51" s="5"/>
      <c r="B51" s="5"/>
      <c r="C51" s="5"/>
      <c r="D51" s="5"/>
      <c r="E51" s="5"/>
      <c r="F51" s="5"/>
      <c r="G51" s="5"/>
      <c r="H51" s="5"/>
      <c r="I51" s="46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>
      <c r="A52" s="5"/>
      <c r="B52" s="5"/>
      <c r="C52" s="5"/>
      <c r="D52" s="5"/>
      <c r="E52" s="5"/>
      <c r="F52" s="5"/>
      <c r="G52" s="5"/>
      <c r="H52" s="5"/>
      <c r="I52" s="46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>
      <c r="A53" s="5"/>
      <c r="B53" s="5"/>
      <c r="C53" s="5"/>
      <c r="D53" s="5"/>
      <c r="E53" s="5"/>
      <c r="F53" s="5"/>
      <c r="G53" s="5"/>
      <c r="H53" s="5"/>
      <c r="I53" s="46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>
      <c r="A54" s="5"/>
      <c r="B54" s="5"/>
      <c r="C54" s="5"/>
      <c r="D54" s="5"/>
      <c r="E54" s="5"/>
      <c r="F54" s="5"/>
      <c r="G54" s="5"/>
      <c r="H54" s="5"/>
      <c r="I54" s="46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>
      <c r="A55" s="5"/>
      <c r="B55" s="5"/>
      <c r="C55" s="5"/>
      <c r="D55" s="5"/>
      <c r="E55" s="5"/>
      <c r="F55" s="5"/>
      <c r="G55" s="5"/>
      <c r="H55" s="5"/>
      <c r="I55" s="46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>
      <c r="A56" s="5"/>
      <c r="B56" s="5"/>
      <c r="C56" s="5"/>
      <c r="D56" s="5"/>
      <c r="E56" s="5"/>
      <c r="F56" s="5"/>
      <c r="G56" s="5"/>
      <c r="H56" s="5"/>
      <c r="I56" s="46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>
      <c r="A57" s="5"/>
      <c r="B57" s="5"/>
      <c r="C57" s="5"/>
      <c r="D57" s="5"/>
      <c r="E57" s="5"/>
      <c r="F57" s="5"/>
      <c r="G57" s="5"/>
      <c r="H57" s="5"/>
      <c r="I57" s="46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>
      <c r="A58" s="5"/>
      <c r="B58" s="5"/>
      <c r="C58" s="5"/>
      <c r="D58" s="5"/>
      <c r="E58" s="5"/>
      <c r="F58" s="5"/>
      <c r="G58" s="5"/>
      <c r="H58" s="5"/>
      <c r="I58" s="4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>
      <c r="A59" s="5"/>
      <c r="B59" s="5"/>
      <c r="C59" s="5"/>
      <c r="D59" s="5"/>
      <c r="E59" s="5"/>
      <c r="F59" s="5"/>
      <c r="G59" s="5"/>
      <c r="H59" s="5"/>
      <c r="I59" s="46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>
      <c r="A60" s="5"/>
      <c r="B60" s="5"/>
      <c r="C60" s="5"/>
      <c r="D60" s="5"/>
      <c r="E60" s="5"/>
      <c r="F60" s="5"/>
      <c r="G60" s="5"/>
      <c r="H60" s="5"/>
      <c r="I60" s="46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>
      <c r="A61" s="5"/>
      <c r="B61" s="5"/>
      <c r="C61" s="5"/>
      <c r="D61" s="5"/>
      <c r="E61" s="5"/>
      <c r="F61" s="5"/>
      <c r="G61" s="5"/>
      <c r="H61" s="5"/>
      <c r="I61" s="46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>
      <c r="A62" s="5"/>
      <c r="B62" s="5"/>
      <c r="C62" s="5"/>
      <c r="D62" s="5"/>
      <c r="E62" s="5"/>
      <c r="F62" s="5"/>
      <c r="G62" s="5"/>
      <c r="H62" s="5"/>
      <c r="I62" s="46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>
      <c r="A63" s="5"/>
      <c r="B63" s="5"/>
      <c r="C63" s="5"/>
      <c r="D63" s="5"/>
      <c r="E63" s="5"/>
      <c r="F63" s="5"/>
      <c r="G63" s="5"/>
      <c r="H63" s="5"/>
      <c r="I63" s="46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>
      <c r="A64" s="5"/>
      <c r="B64" s="5"/>
      <c r="C64" s="5"/>
      <c r="D64" s="5"/>
      <c r="E64" s="5"/>
      <c r="F64" s="5"/>
      <c r="G64" s="5"/>
      <c r="H64" s="5"/>
      <c r="I64" s="46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>
      <c r="A65" s="5"/>
      <c r="B65" s="5"/>
      <c r="C65" s="5"/>
      <c r="D65" s="5"/>
      <c r="E65" s="5"/>
      <c r="F65" s="5"/>
      <c r="G65" s="5"/>
      <c r="H65" s="5"/>
      <c r="I65" s="46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>
      <c r="A66" s="5"/>
      <c r="B66" s="5"/>
      <c r="C66" s="5"/>
      <c r="D66" s="5"/>
      <c r="E66" s="5"/>
      <c r="F66" s="5"/>
      <c r="G66" s="5"/>
      <c r="H66" s="5"/>
      <c r="I66" s="46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>
      <c r="A67" s="5"/>
      <c r="B67" s="5"/>
      <c r="C67" s="5"/>
      <c r="D67" s="5"/>
      <c r="E67" s="5"/>
      <c r="F67" s="5"/>
      <c r="G67" s="5"/>
      <c r="H67" s="5"/>
      <c r="I67" s="46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>
      <c r="A68" s="5"/>
      <c r="B68" s="5"/>
      <c r="C68" s="5"/>
      <c r="D68" s="5"/>
      <c r="E68" s="5"/>
      <c r="F68" s="5"/>
      <c r="G68" s="5"/>
      <c r="H68" s="5"/>
      <c r="I68" s="46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>
      <c r="A69" s="5"/>
      <c r="B69" s="5"/>
      <c r="C69" s="5"/>
      <c r="D69" s="5"/>
      <c r="E69" s="5"/>
      <c r="F69" s="5"/>
      <c r="G69" s="5"/>
      <c r="H69" s="5"/>
      <c r="I69" s="46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>
      <c r="A70" s="5"/>
      <c r="B70" s="5"/>
      <c r="C70" s="5"/>
      <c r="D70" s="5"/>
      <c r="E70" s="5"/>
      <c r="F70" s="5"/>
      <c r="G70" s="5"/>
      <c r="H70" s="5"/>
      <c r="I70" s="46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5"/>
      <c r="C71" s="5"/>
      <c r="D71" s="5"/>
      <c r="E71" s="5"/>
      <c r="F71" s="5"/>
      <c r="G71" s="5"/>
      <c r="H71" s="5"/>
      <c r="I71" s="46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>
      <c r="A72" s="5"/>
      <c r="B72" s="5"/>
      <c r="C72" s="5"/>
      <c r="D72" s="5"/>
      <c r="E72" s="5"/>
      <c r="F72" s="5"/>
      <c r="G72" s="5"/>
      <c r="H72" s="5"/>
      <c r="I72" s="46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>
      <c r="A73" s="5"/>
      <c r="B73" s="5"/>
      <c r="C73" s="5"/>
      <c r="D73" s="5"/>
      <c r="E73" s="5"/>
      <c r="F73" s="5"/>
      <c r="G73" s="5"/>
      <c r="H73" s="5"/>
      <c r="I73" s="46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>
      <c r="A74" s="5"/>
      <c r="B74" s="5"/>
      <c r="C74" s="5"/>
      <c r="D74" s="5"/>
      <c r="E74" s="5"/>
      <c r="F74" s="5"/>
      <c r="G74" s="5"/>
      <c r="H74" s="5"/>
      <c r="I74" s="46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>
      <c r="A75" s="5"/>
      <c r="B75" s="5"/>
      <c r="C75" s="5"/>
      <c r="D75" s="5"/>
      <c r="E75" s="5"/>
      <c r="F75" s="5"/>
      <c r="G75" s="5"/>
      <c r="H75" s="5"/>
      <c r="I75" s="46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>
      <c r="A76" s="5"/>
      <c r="B76" s="5"/>
      <c r="C76" s="5"/>
      <c r="D76" s="5"/>
      <c r="E76" s="5"/>
      <c r="F76" s="5"/>
      <c r="G76" s="5"/>
      <c r="H76" s="5"/>
      <c r="I76" s="46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>
      <c r="A77" s="5"/>
      <c r="B77" s="5"/>
      <c r="C77" s="5"/>
      <c r="D77" s="5"/>
      <c r="E77" s="5"/>
      <c r="F77" s="5"/>
      <c r="G77" s="5"/>
      <c r="H77" s="5"/>
      <c r="I77" s="46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>
      <c r="A78" s="5"/>
      <c r="B78" s="5"/>
      <c r="C78" s="5"/>
      <c r="D78" s="5"/>
      <c r="E78" s="5"/>
      <c r="F78" s="5"/>
      <c r="G78" s="5"/>
      <c r="H78" s="5"/>
      <c r="I78" s="46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>
      <c r="A79" s="5"/>
      <c r="B79" s="5"/>
      <c r="C79" s="5"/>
      <c r="D79" s="5"/>
      <c r="E79" s="5"/>
      <c r="F79" s="5"/>
      <c r="G79" s="5"/>
      <c r="H79" s="5"/>
      <c r="I79" s="46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>
      <c r="A80" s="5"/>
      <c r="B80" s="5"/>
      <c r="C80" s="5"/>
      <c r="D80" s="5"/>
      <c r="E80" s="5"/>
      <c r="F80" s="5"/>
      <c r="G80" s="5"/>
      <c r="H80" s="5"/>
      <c r="I80" s="46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>
      <c r="A81" s="5"/>
      <c r="B81" s="5"/>
      <c r="C81" s="5"/>
      <c r="D81" s="5"/>
      <c r="E81" s="5"/>
      <c r="F81" s="5"/>
      <c r="G81" s="5"/>
      <c r="H81" s="5"/>
      <c r="I81" s="46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>
      <c r="A82" s="5"/>
      <c r="B82" s="5"/>
      <c r="C82" s="5"/>
      <c r="D82" s="5"/>
      <c r="E82" s="5"/>
      <c r="F82" s="5"/>
      <c r="G82" s="5"/>
      <c r="H82" s="5"/>
      <c r="I82" s="46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>
      <c r="A83" s="5"/>
      <c r="B83" s="5"/>
      <c r="C83" s="5"/>
      <c r="D83" s="5"/>
      <c r="E83" s="5"/>
      <c r="F83" s="5"/>
      <c r="G83" s="5"/>
      <c r="H83" s="5"/>
      <c r="I83" s="46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>
      <c r="A84" s="5"/>
      <c r="B84" s="5"/>
      <c r="C84" s="5"/>
      <c r="D84" s="5"/>
      <c r="E84" s="5"/>
      <c r="F84" s="5"/>
      <c r="G84" s="5"/>
      <c r="H84" s="5"/>
      <c r="I84" s="46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>
      <c r="A85" s="5"/>
      <c r="B85" s="5"/>
      <c r="C85" s="5"/>
      <c r="D85" s="5"/>
      <c r="E85" s="5"/>
      <c r="F85" s="5"/>
      <c r="G85" s="5"/>
      <c r="H85" s="5"/>
      <c r="I85" s="46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>
      <c r="A86" s="5"/>
      <c r="B86" s="5"/>
      <c r="C86" s="5"/>
      <c r="D86" s="5"/>
      <c r="E86" s="5"/>
      <c r="F86" s="5"/>
      <c r="G86" s="5"/>
      <c r="H86" s="5"/>
      <c r="I86" s="46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>
      <c r="A87" s="5"/>
      <c r="B87" s="5"/>
      <c r="C87" s="5"/>
      <c r="D87" s="5"/>
      <c r="E87" s="5"/>
      <c r="F87" s="5"/>
      <c r="G87" s="5"/>
      <c r="H87" s="5"/>
      <c r="I87" s="46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>
      <c r="A88" s="5"/>
      <c r="B88" s="5"/>
      <c r="C88" s="5"/>
      <c r="D88" s="5"/>
      <c r="E88" s="5"/>
      <c r="F88" s="5"/>
      <c r="G88" s="5"/>
      <c r="H88" s="5"/>
      <c r="I88" s="46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>
      <c r="A89" s="5"/>
      <c r="B89" s="5"/>
      <c r="C89" s="5"/>
      <c r="D89" s="5"/>
      <c r="E89" s="5"/>
      <c r="F89" s="5"/>
      <c r="G89" s="5"/>
      <c r="H89" s="5"/>
      <c r="I89" s="46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>
      <c r="A90" s="5"/>
      <c r="B90" s="5"/>
      <c r="C90" s="5"/>
      <c r="D90" s="5"/>
      <c r="E90" s="5"/>
      <c r="F90" s="5"/>
      <c r="G90" s="5"/>
      <c r="H90" s="5"/>
      <c r="I90" s="46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>
      <c r="A91" s="5"/>
      <c r="B91" s="5"/>
      <c r="C91" s="5"/>
      <c r="D91" s="5"/>
      <c r="E91" s="5"/>
      <c r="F91" s="5"/>
      <c r="G91" s="5"/>
      <c r="H91" s="5"/>
      <c r="I91" s="46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>
      <c r="A92" s="5"/>
      <c r="B92" s="5"/>
      <c r="C92" s="5"/>
      <c r="D92" s="5"/>
      <c r="E92" s="5"/>
      <c r="F92" s="5"/>
      <c r="G92" s="5"/>
      <c r="H92" s="5"/>
      <c r="I92" s="46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>
      <c r="A93" s="5"/>
      <c r="B93" s="5"/>
      <c r="C93" s="5"/>
      <c r="D93" s="5"/>
      <c r="E93" s="5"/>
      <c r="F93" s="5"/>
      <c r="G93" s="5"/>
      <c r="H93" s="5"/>
      <c r="I93" s="46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>
      <c r="A94" s="5"/>
      <c r="B94" s="5"/>
      <c r="C94" s="5"/>
      <c r="D94" s="5"/>
      <c r="E94" s="5"/>
      <c r="F94" s="5"/>
      <c r="G94" s="5"/>
      <c r="H94" s="5"/>
      <c r="I94" s="46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>
      <c r="A95" s="5"/>
      <c r="B95" s="5"/>
      <c r="C95" s="5"/>
      <c r="D95" s="5"/>
      <c r="E95" s="5"/>
      <c r="F95" s="5"/>
      <c r="G95" s="5"/>
      <c r="H95" s="5"/>
      <c r="I95" s="46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>
      <c r="A96" s="5"/>
      <c r="B96" s="5"/>
      <c r="C96" s="5"/>
      <c r="D96" s="5"/>
      <c r="E96" s="5"/>
      <c r="F96" s="5"/>
      <c r="G96" s="5"/>
      <c r="H96" s="5"/>
      <c r="I96" s="46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>
      <c r="A97" s="5"/>
      <c r="B97" s="5"/>
      <c r="C97" s="5"/>
      <c r="D97" s="5"/>
      <c r="E97" s="5"/>
      <c r="F97" s="5"/>
      <c r="G97" s="5"/>
      <c r="H97" s="5"/>
      <c r="I97" s="46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>
      <c r="A98" s="5"/>
      <c r="B98" s="5"/>
      <c r="C98" s="5"/>
      <c r="D98" s="5"/>
      <c r="E98" s="5"/>
      <c r="F98" s="5"/>
      <c r="G98" s="5"/>
      <c r="H98" s="5"/>
      <c r="I98" s="46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>
      <c r="A99" s="5"/>
      <c r="B99" s="5"/>
      <c r="C99" s="5"/>
      <c r="D99" s="5"/>
      <c r="E99" s="5"/>
      <c r="F99" s="5"/>
      <c r="G99" s="5"/>
      <c r="H99" s="5"/>
      <c r="I99" s="46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>
      <c r="A100" s="5"/>
      <c r="B100" s="5"/>
      <c r="C100" s="5"/>
      <c r="D100" s="5"/>
      <c r="E100" s="5"/>
      <c r="F100" s="5"/>
      <c r="G100" s="5"/>
      <c r="H100" s="5"/>
      <c r="I100" s="46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>
      <c r="A101" s="5"/>
      <c r="B101" s="5"/>
      <c r="C101" s="5"/>
      <c r="D101" s="5"/>
      <c r="E101" s="5"/>
      <c r="F101" s="5"/>
      <c r="G101" s="5"/>
      <c r="H101" s="5"/>
      <c r="I101" s="46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>
      <c r="A102" s="5"/>
      <c r="B102" s="5"/>
      <c r="C102" s="5"/>
      <c r="D102" s="5"/>
      <c r="E102" s="5"/>
      <c r="F102" s="5"/>
      <c r="G102" s="5"/>
      <c r="H102" s="5"/>
      <c r="I102" s="4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>
      <c r="A103" s="5"/>
      <c r="B103" s="5"/>
      <c r="C103" s="5"/>
      <c r="D103" s="5"/>
      <c r="E103" s="5"/>
      <c r="F103" s="5"/>
      <c r="G103" s="5"/>
      <c r="H103" s="5"/>
      <c r="I103" s="46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>
      <c r="A104" s="5"/>
      <c r="B104" s="5"/>
      <c r="C104" s="5"/>
      <c r="D104" s="5"/>
      <c r="E104" s="5"/>
      <c r="F104" s="5"/>
      <c r="G104" s="5"/>
      <c r="H104" s="5"/>
      <c r="I104" s="46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>
      <c r="A105" s="5"/>
      <c r="B105" s="5"/>
      <c r="C105" s="5"/>
      <c r="D105" s="5"/>
      <c r="E105" s="5"/>
      <c r="F105" s="5"/>
      <c r="G105" s="5"/>
      <c r="H105" s="5"/>
      <c r="I105" s="4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>
      <c r="A106" s="5"/>
      <c r="B106" s="5"/>
      <c r="C106" s="5"/>
      <c r="D106" s="5"/>
      <c r="E106" s="5"/>
      <c r="F106" s="5"/>
      <c r="G106" s="5"/>
      <c r="H106" s="5"/>
      <c r="I106" s="46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>
      <c r="A107" s="5"/>
      <c r="B107" s="5"/>
      <c r="C107" s="5"/>
      <c r="D107" s="5"/>
      <c r="E107" s="5"/>
      <c r="F107" s="5"/>
      <c r="G107" s="5"/>
      <c r="H107" s="5"/>
      <c r="I107" s="46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>
      <c r="A108" s="5"/>
      <c r="B108" s="5"/>
      <c r="C108" s="5"/>
      <c r="D108" s="5"/>
      <c r="E108" s="5"/>
      <c r="F108" s="5"/>
      <c r="G108" s="5"/>
      <c r="H108" s="5"/>
      <c r="I108" s="46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>
      <c r="A109" s="5"/>
      <c r="B109" s="5"/>
      <c r="C109" s="5"/>
      <c r="D109" s="5"/>
      <c r="E109" s="5"/>
      <c r="F109" s="5"/>
      <c r="G109" s="5"/>
      <c r="H109" s="5"/>
      <c r="I109" s="46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>
      <c r="A110" s="5"/>
      <c r="B110" s="5"/>
      <c r="C110" s="5"/>
      <c r="D110" s="5"/>
      <c r="E110" s="5"/>
      <c r="F110" s="5"/>
      <c r="G110" s="5"/>
      <c r="H110" s="5"/>
      <c r="I110" s="46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>
      <c r="A111" s="5"/>
      <c r="B111" s="5"/>
      <c r="C111" s="5"/>
      <c r="D111" s="5"/>
      <c r="E111" s="5"/>
      <c r="F111" s="5"/>
      <c r="G111" s="5"/>
      <c r="H111" s="5"/>
      <c r="I111" s="46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>
      <c r="A112" s="5"/>
      <c r="B112" s="5"/>
      <c r="C112" s="5"/>
      <c r="D112" s="5"/>
      <c r="E112" s="5"/>
      <c r="F112" s="5"/>
      <c r="G112" s="5"/>
      <c r="H112" s="5"/>
      <c r="I112" s="46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>
      <c r="A113" s="5"/>
      <c r="B113" s="5"/>
      <c r="C113" s="5"/>
      <c r="D113" s="5"/>
      <c r="E113" s="5"/>
      <c r="F113" s="5"/>
      <c r="G113" s="5"/>
      <c r="H113" s="5"/>
      <c r="I113" s="46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>
      <c r="A114" s="5"/>
      <c r="B114" s="5"/>
      <c r="C114" s="5"/>
      <c r="D114" s="5"/>
      <c r="E114" s="5"/>
      <c r="F114" s="5"/>
      <c r="G114" s="5"/>
      <c r="H114" s="5"/>
      <c r="I114" s="46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>
      <c r="A115" s="5"/>
      <c r="B115" s="5"/>
      <c r="C115" s="5"/>
      <c r="D115" s="5"/>
      <c r="E115" s="5"/>
      <c r="F115" s="5"/>
      <c r="G115" s="5"/>
      <c r="H115" s="5"/>
      <c r="I115" s="46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>
      <c r="A116" s="5"/>
      <c r="B116" s="5"/>
      <c r="C116" s="5"/>
      <c r="D116" s="5"/>
      <c r="E116" s="5"/>
      <c r="F116" s="5"/>
      <c r="G116" s="5"/>
      <c r="H116" s="5"/>
      <c r="I116" s="46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>
      <c r="A117" s="5"/>
      <c r="B117" s="5"/>
      <c r="C117" s="5"/>
      <c r="D117" s="5"/>
      <c r="E117" s="5"/>
      <c r="F117" s="5"/>
      <c r="G117" s="5"/>
      <c r="H117" s="5"/>
      <c r="I117" s="46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>
      <c r="A118" s="5"/>
      <c r="B118" s="5"/>
      <c r="C118" s="5"/>
      <c r="D118" s="5"/>
      <c r="E118" s="5"/>
      <c r="F118" s="5"/>
      <c r="G118" s="5"/>
      <c r="H118" s="5"/>
      <c r="I118" s="46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>
      <c r="A119" s="5"/>
      <c r="B119" s="5"/>
      <c r="C119" s="5"/>
      <c r="D119" s="5"/>
      <c r="E119" s="5"/>
      <c r="F119" s="5"/>
      <c r="G119" s="5"/>
      <c r="H119" s="5"/>
      <c r="I119" s="46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>
      <c r="A120" s="5"/>
      <c r="B120" s="5"/>
      <c r="C120" s="5"/>
      <c r="D120" s="5"/>
      <c r="E120" s="5"/>
      <c r="F120" s="5"/>
      <c r="G120" s="5"/>
      <c r="H120" s="5"/>
      <c r="I120" s="46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>
      <c r="A121" s="5"/>
      <c r="B121" s="5"/>
      <c r="C121" s="5"/>
      <c r="D121" s="5"/>
      <c r="E121" s="5"/>
      <c r="F121" s="5"/>
      <c r="G121" s="5"/>
      <c r="H121" s="5"/>
      <c r="I121" s="46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>
      <c r="A122" s="5"/>
      <c r="B122" s="5"/>
      <c r="C122" s="5"/>
      <c r="D122" s="5"/>
      <c r="E122" s="5"/>
      <c r="F122" s="5"/>
      <c r="G122" s="5"/>
      <c r="H122" s="5"/>
      <c r="I122" s="46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>
      <c r="A123" s="5"/>
      <c r="B123" s="5"/>
      <c r="C123" s="5"/>
      <c r="D123" s="5"/>
      <c r="E123" s="5"/>
      <c r="F123" s="5"/>
      <c r="G123" s="5"/>
      <c r="H123" s="5"/>
      <c r="I123" s="46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>
      <c r="A124" s="5"/>
      <c r="B124" s="5"/>
      <c r="C124" s="5"/>
      <c r="D124" s="5"/>
      <c r="E124" s="5"/>
      <c r="F124" s="5"/>
      <c r="G124" s="5"/>
      <c r="H124" s="5"/>
      <c r="I124" s="46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>
      <c r="A125" s="5"/>
      <c r="B125" s="5"/>
      <c r="C125" s="5"/>
      <c r="D125" s="5"/>
      <c r="E125" s="5"/>
      <c r="F125" s="5"/>
      <c r="G125" s="5"/>
      <c r="H125" s="5"/>
      <c r="I125" s="46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>
      <c r="A126" s="5"/>
      <c r="B126" s="5"/>
      <c r="C126" s="5"/>
      <c r="D126" s="5"/>
      <c r="E126" s="5"/>
      <c r="F126" s="5"/>
      <c r="G126" s="5"/>
      <c r="H126" s="5"/>
      <c r="I126" s="4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>
      <c r="A127" s="5"/>
      <c r="B127" s="5"/>
      <c r="C127" s="5"/>
      <c r="D127" s="5"/>
      <c r="E127" s="5"/>
      <c r="F127" s="5"/>
      <c r="G127" s="5"/>
      <c r="H127" s="5"/>
      <c r="I127" s="46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>
      <c r="A128" s="5"/>
      <c r="B128" s="5"/>
      <c r="C128" s="5"/>
      <c r="D128" s="5"/>
      <c r="E128" s="5"/>
      <c r="F128" s="5"/>
      <c r="G128" s="5"/>
      <c r="H128" s="5"/>
      <c r="I128" s="46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>
      <c r="A129" s="5"/>
      <c r="B129" s="5"/>
      <c r="C129" s="5"/>
      <c r="D129" s="5"/>
      <c r="E129" s="5"/>
      <c r="F129" s="5"/>
      <c r="G129" s="5"/>
      <c r="H129" s="5"/>
      <c r="I129" s="4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>
      <c r="A130" s="5"/>
      <c r="B130" s="5"/>
      <c r="C130" s="5"/>
      <c r="D130" s="5"/>
      <c r="E130" s="5"/>
      <c r="F130" s="5"/>
      <c r="G130" s="5"/>
      <c r="H130" s="5"/>
      <c r="I130" s="46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>
      <c r="A131" s="5"/>
      <c r="B131" s="5"/>
      <c r="C131" s="5"/>
      <c r="D131" s="5"/>
      <c r="E131" s="5"/>
      <c r="F131" s="5"/>
      <c r="G131" s="5"/>
      <c r="H131" s="5"/>
      <c r="I131" s="46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>
      <c r="A132" s="5"/>
      <c r="B132" s="5"/>
      <c r="C132" s="5"/>
      <c r="D132" s="5"/>
      <c r="E132" s="5"/>
      <c r="F132" s="5"/>
      <c r="G132" s="5"/>
      <c r="H132" s="5"/>
      <c r="I132" s="46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>
      <c r="A133" s="5"/>
      <c r="B133" s="5"/>
      <c r="C133" s="5"/>
      <c r="D133" s="5"/>
      <c r="E133" s="5"/>
      <c r="F133" s="5"/>
      <c r="G133" s="5"/>
      <c r="H133" s="5"/>
      <c r="I133" s="46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>
      <c r="A134" s="5"/>
      <c r="B134" s="5"/>
      <c r="C134" s="5"/>
      <c r="D134" s="5"/>
      <c r="E134" s="5"/>
      <c r="F134" s="5"/>
      <c r="G134" s="5"/>
      <c r="H134" s="5"/>
      <c r="I134" s="46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>
      <c r="A135" s="5"/>
      <c r="B135" s="5"/>
      <c r="C135" s="5"/>
      <c r="D135" s="5"/>
      <c r="E135" s="5"/>
      <c r="F135" s="5"/>
      <c r="G135" s="5"/>
      <c r="H135" s="5"/>
      <c r="I135" s="46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>
      <c r="A136" s="5"/>
      <c r="B136" s="5"/>
      <c r="C136" s="5"/>
      <c r="D136" s="5"/>
      <c r="E136" s="5"/>
      <c r="F136" s="5"/>
      <c r="G136" s="5"/>
      <c r="H136" s="5"/>
      <c r="I136" s="46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>
      <c r="A137" s="5"/>
      <c r="B137" s="5"/>
      <c r="C137" s="5"/>
      <c r="D137" s="5"/>
      <c r="E137" s="5"/>
      <c r="F137" s="5"/>
      <c r="G137" s="5"/>
      <c r="H137" s="5"/>
      <c r="I137" s="46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>
      <c r="A138" s="5"/>
      <c r="B138" s="5"/>
      <c r="C138" s="5"/>
      <c r="D138" s="5"/>
      <c r="E138" s="5"/>
      <c r="F138" s="5"/>
      <c r="G138" s="5"/>
      <c r="H138" s="5"/>
      <c r="I138" s="46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>
      <c r="A139" s="5"/>
      <c r="B139" s="5"/>
      <c r="C139" s="5"/>
      <c r="D139" s="5"/>
      <c r="E139" s="5"/>
      <c r="F139" s="5"/>
      <c r="G139" s="5"/>
      <c r="H139" s="5"/>
      <c r="I139" s="46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>
      <c r="A140" s="5"/>
      <c r="B140" s="5"/>
      <c r="C140" s="5"/>
      <c r="D140" s="5"/>
      <c r="E140" s="5"/>
      <c r="F140" s="5"/>
      <c r="G140" s="5"/>
      <c r="H140" s="5"/>
      <c r="I140" s="46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>
      <c r="A141" s="5"/>
      <c r="B141" s="5"/>
      <c r="C141" s="5"/>
      <c r="D141" s="5"/>
      <c r="E141" s="5"/>
      <c r="F141" s="5"/>
      <c r="G141" s="5"/>
      <c r="H141" s="5"/>
      <c r="I141" s="46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>
      <c r="A142" s="5"/>
      <c r="B142" s="5"/>
      <c r="C142" s="5"/>
      <c r="D142" s="5"/>
      <c r="E142" s="5"/>
      <c r="F142" s="5"/>
      <c r="G142" s="5"/>
      <c r="H142" s="5"/>
      <c r="I142" s="46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>
      <c r="A143" s="5"/>
      <c r="B143" s="5"/>
      <c r="C143" s="5"/>
      <c r="D143" s="5"/>
      <c r="E143" s="5"/>
      <c r="F143" s="5"/>
      <c r="G143" s="5"/>
      <c r="H143" s="5"/>
      <c r="I143" s="46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>
      <c r="A144" s="5"/>
      <c r="B144" s="5"/>
      <c r="C144" s="5"/>
      <c r="D144" s="5"/>
      <c r="E144" s="5"/>
      <c r="F144" s="5"/>
      <c r="G144" s="5"/>
      <c r="H144" s="5"/>
      <c r="I144" s="46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>
      <c r="A145" s="5"/>
      <c r="B145" s="5"/>
      <c r="C145" s="5"/>
      <c r="D145" s="5"/>
      <c r="E145" s="5"/>
      <c r="F145" s="5"/>
      <c r="G145" s="5"/>
      <c r="H145" s="5"/>
      <c r="I145" s="46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>
      <c r="A146" s="5"/>
      <c r="B146" s="5"/>
      <c r="C146" s="5"/>
      <c r="D146" s="5"/>
      <c r="E146" s="5"/>
      <c r="F146" s="5"/>
      <c r="G146" s="5"/>
      <c r="H146" s="5"/>
      <c r="I146" s="46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>
      <c r="A147" s="5"/>
      <c r="B147" s="5"/>
      <c r="C147" s="5"/>
      <c r="D147" s="5"/>
      <c r="E147" s="5"/>
      <c r="F147" s="5"/>
      <c r="G147" s="5"/>
      <c r="H147" s="5"/>
      <c r="I147" s="46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>
      <c r="A148" s="5"/>
      <c r="B148" s="5"/>
      <c r="C148" s="5"/>
      <c r="D148" s="5"/>
      <c r="E148" s="5"/>
      <c r="F148" s="5"/>
      <c r="G148" s="5"/>
      <c r="H148" s="5"/>
      <c r="I148" s="46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>
      <c r="A149" s="5"/>
      <c r="B149" s="5"/>
      <c r="C149" s="5"/>
      <c r="D149" s="5"/>
      <c r="E149" s="5"/>
      <c r="F149" s="5"/>
      <c r="G149" s="5"/>
      <c r="H149" s="5"/>
      <c r="I149" s="46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>
      <c r="A150" s="5"/>
      <c r="B150" s="5"/>
      <c r="C150" s="5"/>
      <c r="D150" s="5"/>
      <c r="E150" s="5"/>
      <c r="F150" s="5"/>
      <c r="G150" s="5"/>
      <c r="H150" s="5"/>
      <c r="I150" s="4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>
      <c r="A151" s="5"/>
      <c r="B151" s="5"/>
      <c r="C151" s="5"/>
      <c r="D151" s="5"/>
      <c r="E151" s="5"/>
      <c r="F151" s="5"/>
      <c r="G151" s="5"/>
      <c r="H151" s="5"/>
      <c r="I151" s="46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>
      <c r="A152" s="5"/>
      <c r="B152" s="5"/>
      <c r="C152" s="5"/>
      <c r="D152" s="5"/>
      <c r="E152" s="5"/>
      <c r="F152" s="5"/>
      <c r="G152" s="5"/>
      <c r="H152" s="5"/>
      <c r="I152" s="46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>
      <c r="A153" s="5"/>
      <c r="B153" s="5"/>
      <c r="C153" s="5"/>
      <c r="D153" s="5"/>
      <c r="E153" s="5"/>
      <c r="F153" s="5"/>
      <c r="G153" s="5"/>
      <c r="H153" s="5"/>
      <c r="I153" s="4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>
      <c r="A154" s="5"/>
      <c r="B154" s="5"/>
      <c r="C154" s="5"/>
      <c r="D154" s="5"/>
      <c r="E154" s="5"/>
      <c r="F154" s="5"/>
      <c r="G154" s="5"/>
      <c r="H154" s="5"/>
      <c r="I154" s="46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>
      <c r="A155" s="5"/>
      <c r="B155" s="5"/>
      <c r="C155" s="5"/>
      <c r="D155" s="5"/>
      <c r="E155" s="5"/>
      <c r="F155" s="5"/>
      <c r="G155" s="5"/>
      <c r="H155" s="5"/>
      <c r="I155" s="46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>
      <c r="A156" s="5"/>
      <c r="B156" s="5"/>
      <c r="C156" s="5"/>
      <c r="D156" s="5"/>
      <c r="E156" s="5"/>
      <c r="F156" s="5"/>
      <c r="G156" s="5"/>
      <c r="H156" s="5"/>
      <c r="I156" s="46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>
      <c r="A157" s="5"/>
      <c r="B157" s="5"/>
      <c r="C157" s="5"/>
      <c r="D157" s="5"/>
      <c r="E157" s="5"/>
      <c r="F157" s="5"/>
      <c r="G157" s="5"/>
      <c r="H157" s="5"/>
      <c r="I157" s="46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>
      <c r="A158" s="5"/>
      <c r="B158" s="5"/>
      <c r="C158" s="5"/>
      <c r="D158" s="5"/>
      <c r="E158" s="5"/>
      <c r="F158" s="5"/>
      <c r="G158" s="5"/>
      <c r="H158" s="5"/>
      <c r="I158" s="46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>
      <c r="A159" s="5"/>
      <c r="B159" s="5"/>
      <c r="C159" s="5"/>
      <c r="D159" s="5"/>
      <c r="E159" s="5"/>
      <c r="F159" s="5"/>
      <c r="G159" s="5"/>
      <c r="H159" s="5"/>
      <c r="I159" s="46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>
      <c r="A160" s="5"/>
      <c r="B160" s="5"/>
      <c r="C160" s="5"/>
      <c r="D160" s="5"/>
      <c r="E160" s="5"/>
      <c r="F160" s="5"/>
      <c r="G160" s="5"/>
      <c r="H160" s="5"/>
      <c r="I160" s="46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>
      <c r="A161" s="5"/>
      <c r="B161" s="5"/>
      <c r="C161" s="5"/>
      <c r="D161" s="5"/>
      <c r="E161" s="5"/>
      <c r="F161" s="5"/>
      <c r="G161" s="5"/>
      <c r="H161" s="5"/>
      <c r="I161" s="46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>
      <c r="A162" s="5"/>
      <c r="B162" s="5"/>
      <c r="C162" s="5"/>
      <c r="D162" s="5"/>
      <c r="E162" s="5"/>
      <c r="F162" s="5"/>
      <c r="G162" s="5"/>
      <c r="H162" s="5"/>
      <c r="I162" s="46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>
      <c r="A163" s="5"/>
      <c r="B163" s="5"/>
      <c r="C163" s="5"/>
      <c r="D163" s="5"/>
      <c r="E163" s="5"/>
      <c r="F163" s="5"/>
      <c r="G163" s="5"/>
      <c r="H163" s="5"/>
      <c r="I163" s="46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>
      <c r="A164" s="5"/>
      <c r="B164" s="5"/>
      <c r="C164" s="5"/>
      <c r="D164" s="5"/>
      <c r="E164" s="5"/>
      <c r="F164" s="5"/>
      <c r="G164" s="5"/>
      <c r="H164" s="5"/>
      <c r="I164" s="46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>
      <c r="A165" s="5"/>
      <c r="B165" s="5"/>
      <c r="C165" s="5"/>
      <c r="D165" s="5"/>
      <c r="E165" s="5"/>
      <c r="F165" s="5"/>
      <c r="G165" s="5"/>
      <c r="H165" s="5"/>
      <c r="I165" s="46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>
      <c r="A166" s="5"/>
      <c r="B166" s="5"/>
      <c r="C166" s="5"/>
      <c r="D166" s="5"/>
      <c r="E166" s="5"/>
      <c r="F166" s="5"/>
      <c r="G166" s="5"/>
      <c r="H166" s="5"/>
      <c r="I166" s="46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>
      <c r="A167" s="5"/>
      <c r="B167" s="5"/>
      <c r="C167" s="5"/>
      <c r="D167" s="5"/>
      <c r="E167" s="5"/>
      <c r="F167" s="5"/>
      <c r="G167" s="5"/>
      <c r="H167" s="5"/>
      <c r="I167" s="46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>
      <c r="A168" s="5"/>
      <c r="B168" s="5"/>
      <c r="C168" s="5"/>
      <c r="D168" s="5"/>
      <c r="E168" s="5"/>
      <c r="F168" s="5"/>
      <c r="G168" s="5"/>
      <c r="H168" s="5"/>
      <c r="I168" s="46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>
      <c r="A169" s="5"/>
      <c r="B169" s="5"/>
      <c r="C169" s="5"/>
      <c r="D169" s="5"/>
      <c r="E169" s="5"/>
      <c r="F169" s="5"/>
      <c r="G169" s="5"/>
      <c r="H169" s="5"/>
      <c r="I169" s="46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>
      <c r="A170" s="5"/>
      <c r="B170" s="5"/>
      <c r="C170" s="5"/>
      <c r="D170" s="5"/>
      <c r="E170" s="5"/>
      <c r="F170" s="5"/>
      <c r="G170" s="5"/>
      <c r="H170" s="5"/>
      <c r="I170" s="46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>
      <c r="A171" s="5"/>
      <c r="B171" s="5"/>
      <c r="C171" s="5"/>
      <c r="D171" s="5"/>
      <c r="E171" s="5"/>
      <c r="F171" s="5"/>
      <c r="G171" s="5"/>
      <c r="H171" s="5"/>
      <c r="I171" s="46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>
      <c r="A172" s="5"/>
      <c r="B172" s="5"/>
      <c r="C172" s="5"/>
      <c r="D172" s="5"/>
      <c r="E172" s="5"/>
      <c r="F172" s="5"/>
      <c r="G172" s="5"/>
      <c r="H172" s="5"/>
      <c r="I172" s="46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>
      <c r="A173" s="5"/>
      <c r="B173" s="5"/>
      <c r="C173" s="5"/>
      <c r="D173" s="5"/>
      <c r="E173" s="5"/>
      <c r="F173" s="5"/>
      <c r="G173" s="5"/>
      <c r="H173" s="5"/>
      <c r="I173" s="46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>
      <c r="A174" s="5"/>
      <c r="B174" s="5"/>
      <c r="C174" s="5"/>
      <c r="D174" s="5"/>
      <c r="E174" s="5"/>
      <c r="F174" s="5"/>
      <c r="G174" s="5"/>
      <c r="H174" s="5"/>
      <c r="I174" s="4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>
      <c r="A175" s="5"/>
      <c r="B175" s="5"/>
      <c r="C175" s="5"/>
      <c r="D175" s="5"/>
      <c r="E175" s="5"/>
      <c r="F175" s="5"/>
      <c r="G175" s="5"/>
      <c r="H175" s="5"/>
      <c r="I175" s="46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>
      <c r="A176" s="5"/>
      <c r="B176" s="5"/>
      <c r="C176" s="5"/>
      <c r="D176" s="5"/>
      <c r="E176" s="5"/>
      <c r="F176" s="5"/>
      <c r="G176" s="5"/>
      <c r="H176" s="5"/>
      <c r="I176" s="46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>
      <c r="A177" s="5"/>
      <c r="B177" s="5"/>
      <c r="C177" s="5"/>
      <c r="D177" s="5"/>
      <c r="E177" s="5"/>
      <c r="F177" s="5"/>
      <c r="G177" s="5"/>
      <c r="H177" s="5"/>
      <c r="I177" s="46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>
      <c r="A178" s="5"/>
      <c r="B178" s="5"/>
      <c r="C178" s="5"/>
      <c r="D178" s="5"/>
      <c r="E178" s="5"/>
      <c r="F178" s="5"/>
      <c r="G178" s="5"/>
      <c r="H178" s="5"/>
      <c r="I178" s="46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>
      <c r="A179" s="5"/>
      <c r="B179" s="5"/>
      <c r="C179" s="5"/>
      <c r="D179" s="5"/>
      <c r="E179" s="5"/>
      <c r="F179" s="5"/>
      <c r="G179" s="5"/>
      <c r="H179" s="5"/>
      <c r="I179" s="46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>
      <c r="A180" s="5"/>
      <c r="B180" s="5"/>
      <c r="C180" s="5"/>
      <c r="D180" s="5"/>
      <c r="E180" s="5"/>
      <c r="F180" s="5"/>
      <c r="G180" s="5"/>
      <c r="H180" s="5"/>
      <c r="I180" s="46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>
      <c r="A181" s="5"/>
      <c r="B181" s="5"/>
      <c r="C181" s="5"/>
      <c r="D181" s="5"/>
      <c r="E181" s="5"/>
      <c r="F181" s="5"/>
      <c r="G181" s="5"/>
      <c r="H181" s="5"/>
      <c r="I181" s="46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>
      <c r="A182" s="5"/>
      <c r="B182" s="5"/>
      <c r="C182" s="5"/>
      <c r="D182" s="5"/>
      <c r="E182" s="5"/>
      <c r="F182" s="5"/>
      <c r="G182" s="5"/>
      <c r="H182" s="5"/>
      <c r="I182" s="46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>
      <c r="A183" s="5"/>
      <c r="B183" s="5"/>
      <c r="C183" s="5"/>
      <c r="D183" s="5"/>
      <c r="E183" s="5"/>
      <c r="F183" s="5"/>
      <c r="G183" s="5"/>
      <c r="H183" s="5"/>
      <c r="I183" s="46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>
      <c r="A184" s="5"/>
      <c r="B184" s="5"/>
      <c r="C184" s="5"/>
      <c r="D184" s="5"/>
      <c r="E184" s="5"/>
      <c r="F184" s="5"/>
      <c r="G184" s="5"/>
      <c r="H184" s="5"/>
      <c r="I184" s="4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>
      <c r="A185" s="5"/>
      <c r="B185" s="5"/>
      <c r="C185" s="5"/>
      <c r="D185" s="5"/>
      <c r="E185" s="5"/>
      <c r="F185" s="5"/>
      <c r="G185" s="5"/>
      <c r="H185" s="5"/>
      <c r="I185" s="46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>
      <c r="A186" s="5"/>
      <c r="B186" s="5"/>
      <c r="C186" s="5"/>
      <c r="D186" s="5"/>
      <c r="E186" s="5"/>
      <c r="F186" s="5"/>
      <c r="G186" s="5"/>
      <c r="H186" s="5"/>
      <c r="I186" s="46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>
      <c r="A187" s="5"/>
      <c r="B187" s="5"/>
      <c r="C187" s="5"/>
      <c r="D187" s="5"/>
      <c r="E187" s="5"/>
      <c r="F187" s="5"/>
      <c r="G187" s="5"/>
      <c r="H187" s="5"/>
      <c r="I187" s="46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>
      <c r="A188" s="5"/>
      <c r="B188" s="5"/>
      <c r="C188" s="5"/>
      <c r="D188" s="5"/>
      <c r="E188" s="5"/>
      <c r="F188" s="5"/>
      <c r="G188" s="5"/>
      <c r="H188" s="5"/>
      <c r="I188" s="46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>
      <c r="A189" s="5"/>
      <c r="B189" s="5"/>
      <c r="C189" s="5"/>
      <c r="D189" s="5"/>
      <c r="E189" s="5"/>
      <c r="F189" s="5"/>
      <c r="G189" s="5"/>
      <c r="H189" s="5"/>
      <c r="I189" s="46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>
      <c r="A190" s="5"/>
      <c r="B190" s="5"/>
      <c r="C190" s="5"/>
      <c r="D190" s="5"/>
      <c r="E190" s="5"/>
      <c r="F190" s="5"/>
      <c r="G190" s="5"/>
      <c r="H190" s="5"/>
      <c r="I190" s="46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>
      <c r="A191" s="5"/>
      <c r="B191" s="5"/>
      <c r="C191" s="5"/>
      <c r="D191" s="5"/>
      <c r="E191" s="5"/>
      <c r="F191" s="5"/>
      <c r="G191" s="5"/>
      <c r="H191" s="5"/>
      <c r="I191" s="46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>
      <c r="A192" s="5"/>
      <c r="B192" s="5"/>
      <c r="C192" s="5"/>
      <c r="D192" s="5"/>
      <c r="E192" s="5"/>
      <c r="F192" s="5"/>
      <c r="G192" s="5"/>
      <c r="H192" s="5"/>
      <c r="I192" s="46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>
      <c r="A193" s="5"/>
      <c r="B193" s="5"/>
      <c r="C193" s="5"/>
      <c r="D193" s="5"/>
      <c r="E193" s="5"/>
      <c r="F193" s="5"/>
      <c r="G193" s="5"/>
      <c r="H193" s="5"/>
      <c r="I193" s="46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>
      <c r="A194" s="5"/>
      <c r="B194" s="5"/>
      <c r="C194" s="5"/>
      <c r="D194" s="5"/>
      <c r="E194" s="5"/>
      <c r="F194" s="5"/>
      <c r="G194" s="5"/>
      <c r="H194" s="5"/>
      <c r="I194" s="46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>
      <c r="A195" s="5"/>
      <c r="B195" s="5"/>
      <c r="C195" s="5"/>
      <c r="D195" s="5"/>
      <c r="E195" s="5"/>
      <c r="F195" s="5"/>
      <c r="G195" s="5"/>
      <c r="H195" s="5"/>
      <c r="I195" s="46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>
      <c r="A196" s="5"/>
      <c r="B196" s="5"/>
      <c r="C196" s="5"/>
      <c r="D196" s="5"/>
      <c r="E196" s="5"/>
      <c r="F196" s="5"/>
      <c r="G196" s="5"/>
      <c r="H196" s="5"/>
      <c r="I196" s="46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>
      <c r="A197" s="5"/>
      <c r="B197" s="5"/>
      <c r="C197" s="5"/>
      <c r="D197" s="5"/>
      <c r="E197" s="5"/>
      <c r="F197" s="5"/>
      <c r="G197" s="5"/>
      <c r="H197" s="5"/>
      <c r="I197" s="46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>
      <c r="A198" s="5"/>
      <c r="B198" s="5"/>
      <c r="C198" s="5"/>
      <c r="D198" s="5"/>
      <c r="E198" s="5"/>
      <c r="F198" s="5"/>
      <c r="G198" s="5"/>
      <c r="H198" s="5"/>
      <c r="I198" s="46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>
      <c r="A199" s="5"/>
      <c r="B199" s="5"/>
      <c r="C199" s="5"/>
      <c r="D199" s="5"/>
      <c r="E199" s="5"/>
      <c r="F199" s="5"/>
      <c r="G199" s="5"/>
      <c r="H199" s="5"/>
      <c r="I199" s="46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>
      <c r="I200" s="47"/>
    </row>
    <row r="201" spans="1:20">
      <c r="I201" s="47"/>
    </row>
    <row r="202" spans="1:20">
      <c r="I202" s="47"/>
    </row>
    <row r="203" spans="1:20">
      <c r="I203" s="47"/>
    </row>
    <row r="204" spans="1:20">
      <c r="I204" s="47"/>
    </row>
    <row r="205" spans="1:20">
      <c r="I205" s="47"/>
    </row>
    <row r="206" spans="1:20">
      <c r="I206" s="47"/>
    </row>
    <row r="207" spans="1:20">
      <c r="I207" s="47"/>
    </row>
    <row r="208" spans="1:20">
      <c r="I208" s="47"/>
    </row>
    <row r="209" spans="9:9">
      <c r="I209" s="47"/>
    </row>
    <row r="210" spans="9:9">
      <c r="I210" s="47"/>
    </row>
    <row r="211" spans="9:9">
      <c r="I211" s="47"/>
    </row>
    <row r="212" spans="9:9">
      <c r="I212" s="47"/>
    </row>
    <row r="213" spans="9:9">
      <c r="I213" s="47"/>
    </row>
    <row r="214" spans="9:9">
      <c r="I214" s="47"/>
    </row>
    <row r="215" spans="9:9">
      <c r="I215" s="47"/>
    </row>
    <row r="216" spans="9:9">
      <c r="I216" s="47"/>
    </row>
    <row r="217" spans="9:9">
      <c r="I217" s="47"/>
    </row>
    <row r="218" spans="9:9">
      <c r="I218" s="47"/>
    </row>
    <row r="219" spans="9:9">
      <c r="I219" s="47"/>
    </row>
    <row r="220" spans="9:9">
      <c r="I220" s="47"/>
    </row>
    <row r="221" spans="9:9">
      <c r="I221" s="47"/>
    </row>
    <row r="222" spans="9:9">
      <c r="I222" s="47"/>
    </row>
    <row r="223" spans="9:9">
      <c r="I223" s="47"/>
    </row>
    <row r="224" spans="9:9">
      <c r="I224" s="47"/>
    </row>
    <row r="225" spans="9:9">
      <c r="I225" s="47"/>
    </row>
    <row r="226" spans="9:9">
      <c r="I226" s="47"/>
    </row>
    <row r="227" spans="9:9">
      <c r="I227" s="47"/>
    </row>
    <row r="228" spans="9:9">
      <c r="I228" s="47"/>
    </row>
    <row r="229" spans="9:9">
      <c r="I229" s="47"/>
    </row>
    <row r="230" spans="9:9">
      <c r="I230" s="47"/>
    </row>
    <row r="231" spans="9:9">
      <c r="I231" s="47"/>
    </row>
    <row r="232" spans="9:9">
      <c r="I232" s="47"/>
    </row>
    <row r="233" spans="9:9">
      <c r="I233" s="47"/>
    </row>
    <row r="234" spans="9:9">
      <c r="I234" s="47"/>
    </row>
    <row r="235" spans="9:9">
      <c r="I235" s="47"/>
    </row>
    <row r="236" spans="9:9">
      <c r="I236" s="47"/>
    </row>
    <row r="237" spans="9:9">
      <c r="I237" s="47"/>
    </row>
    <row r="238" spans="9:9">
      <c r="I238" s="47"/>
    </row>
    <row r="239" spans="9:9">
      <c r="I239" s="47"/>
    </row>
    <row r="240" spans="9:9">
      <c r="I240" s="47"/>
    </row>
    <row r="241" spans="9:9">
      <c r="I241" s="47"/>
    </row>
    <row r="242" spans="9:9">
      <c r="I242" s="47"/>
    </row>
    <row r="243" spans="9:9">
      <c r="I243" s="47"/>
    </row>
    <row r="244" spans="9:9">
      <c r="I244" s="47"/>
    </row>
    <row r="245" spans="9:9">
      <c r="I245" s="47"/>
    </row>
    <row r="246" spans="9:9">
      <c r="I246" s="47"/>
    </row>
    <row r="247" spans="9:9">
      <c r="I247" s="47"/>
    </row>
    <row r="248" spans="9:9">
      <c r="I248" s="47"/>
    </row>
    <row r="249" spans="9:9">
      <c r="I249" s="47"/>
    </row>
    <row r="250" spans="9:9">
      <c r="I250" s="47"/>
    </row>
    <row r="251" spans="9:9">
      <c r="I251" s="47"/>
    </row>
    <row r="252" spans="9:9">
      <c r="I252" s="47"/>
    </row>
    <row r="253" spans="9:9">
      <c r="I253" s="47"/>
    </row>
    <row r="254" spans="9:9">
      <c r="I254" s="47"/>
    </row>
    <row r="255" spans="9:9">
      <c r="I255" s="47"/>
    </row>
    <row r="256" spans="9:9">
      <c r="I256" s="47"/>
    </row>
    <row r="257" spans="9:9">
      <c r="I257" s="47"/>
    </row>
    <row r="258" spans="9:9">
      <c r="I258" s="47"/>
    </row>
    <row r="259" spans="9:9">
      <c r="I259" s="47"/>
    </row>
    <row r="260" spans="9:9">
      <c r="I260" s="47"/>
    </row>
    <row r="261" spans="9:9">
      <c r="I261" s="47"/>
    </row>
    <row r="262" spans="9:9">
      <c r="I262" s="47"/>
    </row>
    <row r="263" spans="9:9">
      <c r="I263" s="47"/>
    </row>
    <row r="264" spans="9:9">
      <c r="I264" s="47"/>
    </row>
    <row r="265" spans="9:9">
      <c r="I265" s="47"/>
    </row>
    <row r="266" spans="9:9">
      <c r="I266" s="47"/>
    </row>
    <row r="267" spans="9:9">
      <c r="I267" s="47"/>
    </row>
    <row r="268" spans="9:9">
      <c r="I268" s="47"/>
    </row>
    <row r="269" spans="9:9">
      <c r="I269" s="47"/>
    </row>
    <row r="270" spans="9:9">
      <c r="I270" s="47"/>
    </row>
    <row r="271" spans="9:9">
      <c r="I271" s="47"/>
    </row>
    <row r="272" spans="9:9">
      <c r="I272" s="47"/>
    </row>
    <row r="273" spans="9:9">
      <c r="I273" s="47"/>
    </row>
    <row r="274" spans="9:9">
      <c r="I274" s="47"/>
    </row>
    <row r="275" spans="9:9">
      <c r="I275" s="47"/>
    </row>
    <row r="276" spans="9:9">
      <c r="I276" s="47"/>
    </row>
    <row r="277" spans="9:9">
      <c r="I277" s="47"/>
    </row>
    <row r="278" spans="9:9">
      <c r="I278" s="47"/>
    </row>
    <row r="279" spans="9:9">
      <c r="I279" s="47"/>
    </row>
    <row r="280" spans="9:9">
      <c r="I280" s="47"/>
    </row>
    <row r="281" spans="9:9">
      <c r="I281" s="47"/>
    </row>
    <row r="282" spans="9:9">
      <c r="I282" s="47"/>
    </row>
    <row r="283" spans="9:9">
      <c r="I283" s="47"/>
    </row>
    <row r="284" spans="9:9">
      <c r="I284" s="47"/>
    </row>
    <row r="285" spans="9:9">
      <c r="I285" s="47"/>
    </row>
    <row r="286" spans="9:9">
      <c r="I286" s="47"/>
    </row>
    <row r="287" spans="9:9">
      <c r="I287" s="47"/>
    </row>
    <row r="288" spans="9:9">
      <c r="I288" s="47"/>
    </row>
    <row r="289" spans="9:9">
      <c r="I289" s="47"/>
    </row>
    <row r="290" spans="9:9">
      <c r="I290" s="47"/>
    </row>
    <row r="291" spans="9:9">
      <c r="I291" s="47"/>
    </row>
    <row r="292" spans="9:9">
      <c r="I292" s="47"/>
    </row>
    <row r="293" spans="9:9">
      <c r="I293" s="47"/>
    </row>
    <row r="294" spans="9:9">
      <c r="I294" s="47"/>
    </row>
    <row r="295" spans="9:9">
      <c r="I295" s="47"/>
    </row>
    <row r="296" spans="9:9">
      <c r="I296" s="47"/>
    </row>
    <row r="297" spans="9:9">
      <c r="I297" s="47"/>
    </row>
    <row r="298" spans="9:9">
      <c r="I298" s="47"/>
    </row>
    <row r="299" spans="9:9">
      <c r="I299" s="47"/>
    </row>
    <row r="300" spans="9:9">
      <c r="I300" s="47"/>
    </row>
    <row r="301" spans="9:9">
      <c r="I301" s="47"/>
    </row>
    <row r="302" spans="9:9">
      <c r="I302" s="47"/>
    </row>
    <row r="303" spans="9:9">
      <c r="I303" s="47"/>
    </row>
    <row r="304" spans="9:9">
      <c r="I304" s="47"/>
    </row>
    <row r="305" spans="9:9">
      <c r="I305" s="47"/>
    </row>
    <row r="306" spans="9:9">
      <c r="I306" s="47"/>
    </row>
    <row r="307" spans="9:9">
      <c r="I307" s="47"/>
    </row>
    <row r="308" spans="9:9">
      <c r="I308" s="47"/>
    </row>
    <row r="309" spans="9:9">
      <c r="I309" s="47"/>
    </row>
    <row r="310" spans="9:9">
      <c r="I310" s="47"/>
    </row>
    <row r="311" spans="9:9">
      <c r="I311" s="47"/>
    </row>
    <row r="312" spans="9:9">
      <c r="I312" s="47"/>
    </row>
    <row r="313" spans="9:9">
      <c r="I313" s="47"/>
    </row>
    <row r="314" spans="9:9">
      <c r="I314" s="47"/>
    </row>
    <row r="315" spans="9:9">
      <c r="I315" s="47"/>
    </row>
    <row r="316" spans="9:9">
      <c r="I316" s="47"/>
    </row>
    <row r="317" spans="9:9">
      <c r="I317" s="47"/>
    </row>
    <row r="318" spans="9:9">
      <c r="I318" s="47"/>
    </row>
    <row r="319" spans="9:9">
      <c r="I319" s="47"/>
    </row>
    <row r="320" spans="9:9">
      <c r="I320" s="47"/>
    </row>
    <row r="321" spans="9:9">
      <c r="I321" s="47"/>
    </row>
    <row r="322" spans="9:9">
      <c r="I322" s="47"/>
    </row>
    <row r="323" spans="9:9">
      <c r="I323" s="47"/>
    </row>
    <row r="324" spans="9:9">
      <c r="I324" s="47"/>
    </row>
    <row r="325" spans="9:9">
      <c r="I325" s="47"/>
    </row>
    <row r="326" spans="9:9">
      <c r="I326" s="47"/>
    </row>
    <row r="327" spans="9:9">
      <c r="I327" s="47"/>
    </row>
    <row r="328" spans="9:9">
      <c r="I328" s="47"/>
    </row>
    <row r="329" spans="9:9">
      <c r="I329" s="47"/>
    </row>
    <row r="330" spans="9:9">
      <c r="I330" s="47"/>
    </row>
    <row r="331" spans="9:9">
      <c r="I331" s="47"/>
    </row>
    <row r="332" spans="9:9">
      <c r="I332" s="47"/>
    </row>
    <row r="333" spans="9:9">
      <c r="I333" s="47"/>
    </row>
    <row r="334" spans="9:9">
      <c r="I334" s="47"/>
    </row>
    <row r="335" spans="9:9">
      <c r="I335" s="47"/>
    </row>
    <row r="336" spans="9:9">
      <c r="I336" s="47"/>
    </row>
    <row r="337" spans="9:9">
      <c r="I337" s="47"/>
    </row>
    <row r="338" spans="9:9">
      <c r="I338" s="47"/>
    </row>
    <row r="339" spans="9:9">
      <c r="I339" s="47"/>
    </row>
    <row r="340" spans="9:9">
      <c r="I340" s="47"/>
    </row>
    <row r="341" spans="9:9">
      <c r="I341" s="47"/>
    </row>
    <row r="342" spans="9:9">
      <c r="I342" s="47"/>
    </row>
    <row r="343" spans="9:9">
      <c r="I343" s="47"/>
    </row>
    <row r="344" spans="9:9">
      <c r="I344" s="47"/>
    </row>
    <row r="345" spans="9:9">
      <c r="I345" s="47"/>
    </row>
    <row r="346" spans="9:9">
      <c r="I346" s="47"/>
    </row>
    <row r="347" spans="9:9">
      <c r="I347" s="47"/>
    </row>
    <row r="348" spans="9:9">
      <c r="I348" s="47"/>
    </row>
    <row r="349" spans="9:9">
      <c r="I349" s="47"/>
    </row>
    <row r="350" spans="9:9">
      <c r="I350" s="47"/>
    </row>
    <row r="351" spans="9:9">
      <c r="I351" s="47"/>
    </row>
    <row r="352" spans="9:9">
      <c r="I352" s="47"/>
    </row>
    <row r="353" spans="9:9">
      <c r="I353" s="47"/>
    </row>
    <row r="354" spans="9:9">
      <c r="I354" s="47"/>
    </row>
    <row r="355" spans="9:9">
      <c r="I355" s="47"/>
    </row>
    <row r="356" spans="9:9">
      <c r="I356" s="47"/>
    </row>
    <row r="357" spans="9:9">
      <c r="I357" s="47"/>
    </row>
    <row r="358" spans="9:9">
      <c r="I358" s="47"/>
    </row>
    <row r="359" spans="9:9">
      <c r="I359" s="47"/>
    </row>
    <row r="360" spans="9:9">
      <c r="I360" s="47"/>
    </row>
    <row r="361" spans="9:9">
      <c r="I361" s="47"/>
    </row>
    <row r="362" spans="9:9">
      <c r="I362" s="47"/>
    </row>
    <row r="363" spans="9:9">
      <c r="I363" s="47"/>
    </row>
    <row r="364" spans="9:9">
      <c r="I364" s="47"/>
    </row>
    <row r="365" spans="9:9">
      <c r="I365" s="47"/>
    </row>
    <row r="366" spans="9:9">
      <c r="I366" s="47"/>
    </row>
    <row r="367" spans="9:9">
      <c r="I367" s="47"/>
    </row>
    <row r="368" spans="9:9">
      <c r="I368" s="47"/>
    </row>
    <row r="369" spans="9:9">
      <c r="I369" s="47"/>
    </row>
    <row r="370" spans="9:9">
      <c r="I370" s="47"/>
    </row>
    <row r="371" spans="9:9">
      <c r="I371" s="47"/>
    </row>
    <row r="372" spans="9:9">
      <c r="I372" s="47"/>
    </row>
    <row r="373" spans="9:9">
      <c r="I373" s="47"/>
    </row>
    <row r="374" spans="9:9">
      <c r="I374" s="47"/>
    </row>
    <row r="375" spans="9:9">
      <c r="I375" s="47"/>
    </row>
    <row r="376" spans="9:9">
      <c r="I376" s="47"/>
    </row>
    <row r="377" spans="9:9">
      <c r="I377" s="47"/>
    </row>
    <row r="378" spans="9:9">
      <c r="I378" s="47"/>
    </row>
    <row r="379" spans="9:9">
      <c r="I379" s="47"/>
    </row>
    <row r="380" spans="9:9">
      <c r="I380" s="47"/>
    </row>
    <row r="381" spans="9:9">
      <c r="I381" s="47"/>
    </row>
    <row r="382" spans="9:9">
      <c r="I382" s="47"/>
    </row>
    <row r="383" spans="9:9">
      <c r="I383" s="47"/>
    </row>
    <row r="384" spans="9:9">
      <c r="I384" s="47"/>
    </row>
    <row r="385" spans="9:9">
      <c r="I385" s="47"/>
    </row>
    <row r="386" spans="9:9">
      <c r="I386" s="47"/>
    </row>
    <row r="387" spans="9:9">
      <c r="I387" s="47"/>
    </row>
    <row r="388" spans="9:9">
      <c r="I388" s="47"/>
    </row>
    <row r="389" spans="9:9">
      <c r="I389" s="47"/>
    </row>
    <row r="390" spans="9:9">
      <c r="I390" s="47"/>
    </row>
    <row r="391" spans="9:9">
      <c r="I391" s="47"/>
    </row>
    <row r="392" spans="9:9">
      <c r="I392" s="47"/>
    </row>
    <row r="393" spans="9:9">
      <c r="I393" s="47"/>
    </row>
    <row r="394" spans="9:9">
      <c r="I394" s="47"/>
    </row>
    <row r="395" spans="9:9">
      <c r="I395" s="47"/>
    </row>
    <row r="396" spans="9:9">
      <c r="I396" s="47"/>
    </row>
    <row r="397" spans="9:9">
      <c r="I397" s="47"/>
    </row>
    <row r="398" spans="9:9">
      <c r="I398" s="47"/>
    </row>
    <row r="399" spans="9:9">
      <c r="I399" s="47"/>
    </row>
    <row r="400" spans="9:9">
      <c r="I400" s="47"/>
    </row>
    <row r="401" spans="9:9">
      <c r="I401" s="47"/>
    </row>
    <row r="402" spans="9:9">
      <c r="I402" s="47"/>
    </row>
    <row r="403" spans="9:9">
      <c r="I403" s="47"/>
    </row>
    <row r="404" spans="9:9">
      <c r="I404" s="47"/>
    </row>
    <row r="405" spans="9:9">
      <c r="I405" s="47"/>
    </row>
    <row r="406" spans="9:9">
      <c r="I406" s="47"/>
    </row>
    <row r="407" spans="9:9">
      <c r="I407" s="47"/>
    </row>
    <row r="408" spans="9:9">
      <c r="I408" s="47"/>
    </row>
    <row r="409" spans="9:9">
      <c r="I409" s="47"/>
    </row>
    <row r="410" spans="9:9">
      <c r="I410" s="47"/>
    </row>
    <row r="411" spans="9:9">
      <c r="I411" s="47"/>
    </row>
    <row r="412" spans="9:9">
      <c r="I412" s="47"/>
    </row>
    <row r="413" spans="9:9">
      <c r="I413" s="47"/>
    </row>
    <row r="414" spans="9:9">
      <c r="I414" s="47"/>
    </row>
    <row r="415" spans="9:9">
      <c r="I415" s="47"/>
    </row>
    <row r="416" spans="9:9">
      <c r="I416" s="47"/>
    </row>
    <row r="417" spans="9:9">
      <c r="I417" s="47"/>
    </row>
    <row r="418" spans="9:9">
      <c r="I418" s="47"/>
    </row>
    <row r="419" spans="9:9">
      <c r="I419" s="47"/>
    </row>
    <row r="420" spans="9:9">
      <c r="I420" s="47"/>
    </row>
    <row r="421" spans="9:9">
      <c r="I421" s="47"/>
    </row>
    <row r="422" spans="9:9">
      <c r="I422" s="47"/>
    </row>
    <row r="423" spans="9:9">
      <c r="I423" s="47"/>
    </row>
    <row r="424" spans="9:9">
      <c r="I424" s="47"/>
    </row>
    <row r="425" spans="9:9">
      <c r="I425" s="47"/>
    </row>
    <row r="426" spans="9:9">
      <c r="I426" s="47"/>
    </row>
    <row r="427" spans="9:9">
      <c r="I427" s="47"/>
    </row>
    <row r="428" spans="9:9">
      <c r="I428" s="47"/>
    </row>
    <row r="429" spans="9:9">
      <c r="I429" s="47"/>
    </row>
    <row r="430" spans="9:9">
      <c r="I430" s="47"/>
    </row>
    <row r="431" spans="9:9">
      <c r="I431" s="47"/>
    </row>
    <row r="432" spans="9:9">
      <c r="I432" s="47"/>
    </row>
    <row r="433" spans="9:9">
      <c r="I433" s="47"/>
    </row>
    <row r="434" spans="9:9">
      <c r="I434" s="47"/>
    </row>
    <row r="435" spans="9:9">
      <c r="I435" s="47"/>
    </row>
    <row r="436" spans="9:9">
      <c r="I436" s="47"/>
    </row>
    <row r="437" spans="9:9">
      <c r="I437" s="47"/>
    </row>
    <row r="438" spans="9:9">
      <c r="I438" s="47"/>
    </row>
    <row r="439" spans="9:9">
      <c r="I439" s="47"/>
    </row>
    <row r="440" spans="9:9">
      <c r="I440" s="47"/>
    </row>
    <row r="441" spans="9:9">
      <c r="I441" s="47"/>
    </row>
    <row r="442" spans="9:9">
      <c r="I442" s="47"/>
    </row>
    <row r="443" spans="9:9">
      <c r="I443" s="47"/>
    </row>
    <row r="444" spans="9:9">
      <c r="I444" s="47"/>
    </row>
    <row r="445" spans="9:9">
      <c r="I445" s="47"/>
    </row>
    <row r="446" spans="9:9">
      <c r="I446" s="47"/>
    </row>
    <row r="447" spans="9:9">
      <c r="I447" s="47"/>
    </row>
    <row r="448" spans="9:9">
      <c r="I448" s="47"/>
    </row>
    <row r="449" spans="9:9">
      <c r="I449" s="47"/>
    </row>
    <row r="450" spans="9:9">
      <c r="I450" s="47"/>
    </row>
    <row r="451" spans="9:9">
      <c r="I451" s="47"/>
    </row>
    <row r="452" spans="9:9">
      <c r="I452" s="47"/>
    </row>
    <row r="453" spans="9:9">
      <c r="I453" s="47"/>
    </row>
    <row r="454" spans="9:9">
      <c r="I454" s="47"/>
    </row>
    <row r="455" spans="9:9">
      <c r="I455" s="47"/>
    </row>
    <row r="456" spans="9:9">
      <c r="I456" s="47"/>
    </row>
    <row r="457" spans="9:9">
      <c r="I457" s="47"/>
    </row>
    <row r="458" spans="9:9">
      <c r="I458" s="47"/>
    </row>
    <row r="459" spans="9:9">
      <c r="I459" s="47"/>
    </row>
    <row r="460" spans="9:9">
      <c r="I460" s="47"/>
    </row>
    <row r="461" spans="9:9">
      <c r="I461" s="47"/>
    </row>
    <row r="462" spans="9:9">
      <c r="I462" s="47"/>
    </row>
    <row r="463" spans="9:9">
      <c r="I463" s="47"/>
    </row>
    <row r="464" spans="9:9">
      <c r="I464" s="47"/>
    </row>
    <row r="465" spans="9:9">
      <c r="I465" s="47"/>
    </row>
    <row r="466" spans="9:9">
      <c r="I466" s="47"/>
    </row>
    <row r="467" spans="9:9">
      <c r="I467" s="47"/>
    </row>
    <row r="468" spans="9:9">
      <c r="I468" s="47"/>
    </row>
    <row r="469" spans="9:9">
      <c r="I469" s="47"/>
    </row>
    <row r="470" spans="9:9">
      <c r="I470" s="47"/>
    </row>
    <row r="471" spans="9:9">
      <c r="I471" s="47"/>
    </row>
    <row r="472" spans="9:9">
      <c r="I472" s="47"/>
    </row>
    <row r="473" spans="9:9">
      <c r="I473" s="47"/>
    </row>
    <row r="474" spans="9:9">
      <c r="I474" s="47"/>
    </row>
    <row r="475" spans="9:9">
      <c r="I475" s="47"/>
    </row>
    <row r="476" spans="9:9">
      <c r="I476" s="47"/>
    </row>
    <row r="477" spans="9:9">
      <c r="I477" s="47"/>
    </row>
    <row r="478" spans="9:9">
      <c r="I478" s="47"/>
    </row>
    <row r="479" spans="9:9">
      <c r="I479" s="47"/>
    </row>
    <row r="480" spans="9:9">
      <c r="I480" s="47"/>
    </row>
    <row r="481" spans="9:9">
      <c r="I481" s="47"/>
    </row>
    <row r="482" spans="9:9">
      <c r="I482" s="47"/>
    </row>
    <row r="483" spans="9:9">
      <c r="I483" s="47"/>
    </row>
    <row r="484" spans="9:9">
      <c r="I484" s="47"/>
    </row>
    <row r="485" spans="9:9">
      <c r="I485" s="47"/>
    </row>
    <row r="486" spans="9:9">
      <c r="I486" s="47"/>
    </row>
    <row r="487" spans="9:9">
      <c r="I487" s="47"/>
    </row>
    <row r="488" spans="9:9">
      <c r="I488" s="47"/>
    </row>
    <row r="489" spans="9:9">
      <c r="I489" s="47"/>
    </row>
    <row r="490" spans="9:9">
      <c r="I490" s="47"/>
    </row>
    <row r="491" spans="9:9">
      <c r="I491" s="47"/>
    </row>
    <row r="492" spans="9:9">
      <c r="I492" s="47"/>
    </row>
    <row r="493" spans="9:9">
      <c r="I493" s="47"/>
    </row>
    <row r="494" spans="9:9">
      <c r="I494" s="47"/>
    </row>
    <row r="495" spans="9:9">
      <c r="I495" s="47"/>
    </row>
    <row r="496" spans="9:9">
      <c r="I496" s="47"/>
    </row>
    <row r="497" spans="9:9">
      <c r="I497" s="47"/>
    </row>
    <row r="498" spans="9:9">
      <c r="I498" s="47"/>
    </row>
    <row r="499" spans="9:9">
      <c r="I499" s="47"/>
    </row>
    <row r="500" spans="9:9">
      <c r="I500" s="47"/>
    </row>
    <row r="501" spans="9:9">
      <c r="I501" s="47"/>
    </row>
    <row r="502" spans="9:9">
      <c r="I502" s="47"/>
    </row>
    <row r="503" spans="9:9">
      <c r="I503" s="47"/>
    </row>
    <row r="504" spans="9:9">
      <c r="I504" s="47"/>
    </row>
    <row r="505" spans="9:9">
      <c r="I505" s="47"/>
    </row>
    <row r="506" spans="9:9">
      <c r="I506" s="47"/>
    </row>
    <row r="507" spans="9:9">
      <c r="I507" s="47"/>
    </row>
    <row r="508" spans="9:9">
      <c r="I508" s="47"/>
    </row>
    <row r="509" spans="9:9">
      <c r="I509" s="47"/>
    </row>
    <row r="510" spans="9:9">
      <c r="I510" s="47"/>
    </row>
    <row r="511" spans="9:9">
      <c r="I511" s="47"/>
    </row>
    <row r="512" spans="9:9">
      <c r="I512" s="47"/>
    </row>
    <row r="513" spans="9:9">
      <c r="I513" s="47"/>
    </row>
    <row r="514" spans="9:9">
      <c r="I514" s="47"/>
    </row>
    <row r="515" spans="9:9">
      <c r="I515" s="47"/>
    </row>
    <row r="516" spans="9:9">
      <c r="I516" s="47"/>
    </row>
    <row r="517" spans="9:9">
      <c r="I517" s="47"/>
    </row>
    <row r="518" spans="9:9">
      <c r="I518" s="47"/>
    </row>
    <row r="519" spans="9:9">
      <c r="I519" s="47"/>
    </row>
    <row r="520" spans="9:9">
      <c r="I520" s="47"/>
    </row>
    <row r="521" spans="9:9">
      <c r="I521" s="47"/>
    </row>
    <row r="522" spans="9:9">
      <c r="I522" s="47"/>
    </row>
    <row r="523" spans="9:9">
      <c r="I523" s="47"/>
    </row>
    <row r="524" spans="9:9">
      <c r="I524" s="47"/>
    </row>
    <row r="525" spans="9:9">
      <c r="I525" s="47"/>
    </row>
    <row r="526" spans="9:9">
      <c r="I526" s="47"/>
    </row>
    <row r="527" spans="9:9">
      <c r="I527" s="47"/>
    </row>
    <row r="528" spans="9:9">
      <c r="I528" s="47"/>
    </row>
    <row r="529" spans="9:9">
      <c r="I529" s="47"/>
    </row>
    <row r="530" spans="9:9">
      <c r="I530" s="47"/>
    </row>
    <row r="531" spans="9:9">
      <c r="I531" s="47"/>
    </row>
    <row r="532" spans="9:9">
      <c r="I532" s="47"/>
    </row>
    <row r="533" spans="9:9">
      <c r="I533" s="47"/>
    </row>
    <row r="534" spans="9:9">
      <c r="I534" s="47"/>
    </row>
    <row r="535" spans="9:9">
      <c r="I535" s="47"/>
    </row>
    <row r="536" spans="9:9">
      <c r="I536" s="47"/>
    </row>
    <row r="537" spans="9:9">
      <c r="I537" s="47"/>
    </row>
    <row r="538" spans="9:9">
      <c r="I538" s="47"/>
    </row>
    <row r="539" spans="9:9">
      <c r="I539" s="47"/>
    </row>
    <row r="540" spans="9:9">
      <c r="I540" s="47"/>
    </row>
    <row r="541" spans="9:9">
      <c r="I541" s="47"/>
    </row>
    <row r="542" spans="9:9">
      <c r="I542" s="47"/>
    </row>
    <row r="543" spans="9:9">
      <c r="I543" s="47"/>
    </row>
    <row r="544" spans="9:9">
      <c r="I544" s="47"/>
    </row>
    <row r="545" spans="9:9">
      <c r="I545" s="47"/>
    </row>
    <row r="546" spans="9:9">
      <c r="I546" s="47"/>
    </row>
    <row r="547" spans="9:9">
      <c r="I547" s="47"/>
    </row>
    <row r="548" spans="9:9">
      <c r="I548" s="47"/>
    </row>
    <row r="549" spans="9:9">
      <c r="I549" s="47"/>
    </row>
    <row r="550" spans="9:9">
      <c r="I550" s="47"/>
    </row>
    <row r="551" spans="9:9">
      <c r="I551" s="47"/>
    </row>
    <row r="552" spans="9:9">
      <c r="I552" s="47"/>
    </row>
    <row r="553" spans="9:9">
      <c r="I553" s="47"/>
    </row>
    <row r="554" spans="9:9">
      <c r="I554" s="47"/>
    </row>
    <row r="555" spans="9:9">
      <c r="I555" s="47"/>
    </row>
    <row r="556" spans="9:9">
      <c r="I556" s="47"/>
    </row>
    <row r="557" spans="9:9">
      <c r="I557" s="47"/>
    </row>
    <row r="558" spans="9:9">
      <c r="I558" s="47"/>
    </row>
    <row r="559" spans="9:9">
      <c r="I559" s="47"/>
    </row>
    <row r="560" spans="9:9">
      <c r="I560" s="47"/>
    </row>
    <row r="561" spans="9:9">
      <c r="I561" s="47"/>
    </row>
    <row r="562" spans="9:9">
      <c r="I562" s="47"/>
    </row>
    <row r="563" spans="9:9">
      <c r="I563" s="47"/>
    </row>
    <row r="564" spans="9:9">
      <c r="I564" s="47"/>
    </row>
    <row r="565" spans="9:9">
      <c r="I565" s="47"/>
    </row>
    <row r="566" spans="9:9">
      <c r="I566" s="47"/>
    </row>
    <row r="567" spans="9:9">
      <c r="I567" s="47"/>
    </row>
    <row r="568" spans="9:9">
      <c r="I568" s="47"/>
    </row>
    <row r="569" spans="9:9">
      <c r="I569" s="47"/>
    </row>
    <row r="570" spans="9:9">
      <c r="I570" s="47"/>
    </row>
    <row r="571" spans="9:9">
      <c r="I571" s="47"/>
    </row>
    <row r="572" spans="9:9">
      <c r="I572" s="47"/>
    </row>
    <row r="573" spans="9:9">
      <c r="I573" s="47"/>
    </row>
    <row r="574" spans="9:9">
      <c r="I574" s="47"/>
    </row>
    <row r="575" spans="9:9">
      <c r="I575" s="47"/>
    </row>
    <row r="576" spans="9:9">
      <c r="I576" s="47"/>
    </row>
    <row r="577" spans="9:9">
      <c r="I577" s="47"/>
    </row>
    <row r="578" spans="9:9">
      <c r="I578" s="47"/>
    </row>
    <row r="579" spans="9:9">
      <c r="I579" s="47"/>
    </row>
    <row r="580" spans="9:9">
      <c r="I580" s="47"/>
    </row>
    <row r="581" spans="9:9">
      <c r="I581" s="47"/>
    </row>
    <row r="582" spans="9:9">
      <c r="I582" s="47"/>
    </row>
    <row r="583" spans="9:9">
      <c r="I583" s="47"/>
    </row>
    <row r="584" spans="9:9">
      <c r="I584" s="47"/>
    </row>
    <row r="585" spans="9:9">
      <c r="I585" s="47"/>
    </row>
    <row r="586" spans="9:9">
      <c r="I586" s="47"/>
    </row>
    <row r="587" spans="9:9">
      <c r="I587" s="47"/>
    </row>
    <row r="588" spans="9:9">
      <c r="I588" s="47"/>
    </row>
    <row r="589" spans="9:9">
      <c r="I589" s="47"/>
    </row>
    <row r="590" spans="9:9">
      <c r="I590" s="47"/>
    </row>
    <row r="591" spans="9:9">
      <c r="I591" s="47"/>
    </row>
    <row r="592" spans="9:9">
      <c r="I592" s="47"/>
    </row>
    <row r="593" spans="9:9">
      <c r="I593" s="47"/>
    </row>
    <row r="594" spans="9:9">
      <c r="I594" s="47"/>
    </row>
    <row r="595" spans="9:9">
      <c r="I595" s="47"/>
    </row>
    <row r="596" spans="9:9">
      <c r="I596" s="47"/>
    </row>
    <row r="597" spans="9:9">
      <c r="I597" s="47"/>
    </row>
    <row r="598" spans="9:9">
      <c r="I598" s="47"/>
    </row>
    <row r="599" spans="9:9">
      <c r="I599" s="47"/>
    </row>
    <row r="600" spans="9:9">
      <c r="I600" s="47"/>
    </row>
    <row r="601" spans="9:9">
      <c r="I601" s="47"/>
    </row>
    <row r="602" spans="9:9">
      <c r="I602" s="47"/>
    </row>
    <row r="603" spans="9:9">
      <c r="I603" s="47"/>
    </row>
    <row r="604" spans="9:9">
      <c r="I604" s="47"/>
    </row>
    <row r="605" spans="9:9">
      <c r="I605" s="47"/>
    </row>
    <row r="606" spans="9:9">
      <c r="I606" s="47"/>
    </row>
    <row r="607" spans="9:9">
      <c r="I607" s="47"/>
    </row>
    <row r="608" spans="9:9">
      <c r="I608" s="47"/>
    </row>
    <row r="609" spans="9:9">
      <c r="I609" s="47"/>
    </row>
    <row r="610" spans="9:9">
      <c r="I610" s="47"/>
    </row>
    <row r="611" spans="9:9">
      <c r="I611" s="47"/>
    </row>
    <row r="612" spans="9:9">
      <c r="I612" s="47"/>
    </row>
    <row r="613" spans="9:9">
      <c r="I613" s="47"/>
    </row>
    <row r="614" spans="9:9">
      <c r="I614" s="47"/>
    </row>
    <row r="615" spans="9:9">
      <c r="I615" s="47"/>
    </row>
    <row r="616" spans="9:9">
      <c r="I616" s="47"/>
    </row>
    <row r="617" spans="9:9">
      <c r="I617" s="47"/>
    </row>
    <row r="618" spans="9:9">
      <c r="I618" s="47"/>
    </row>
    <row r="619" spans="9:9">
      <c r="I619" s="47"/>
    </row>
    <row r="620" spans="9:9">
      <c r="I620" s="47"/>
    </row>
    <row r="621" spans="9:9">
      <c r="I621" s="47"/>
    </row>
    <row r="622" spans="9:9">
      <c r="I622" s="47"/>
    </row>
    <row r="623" spans="9:9">
      <c r="I623" s="47"/>
    </row>
    <row r="624" spans="9:9">
      <c r="I624" s="47"/>
    </row>
    <row r="625" spans="9:9">
      <c r="I625" s="47"/>
    </row>
    <row r="626" spans="9:9">
      <c r="I626" s="47"/>
    </row>
    <row r="627" spans="9:9">
      <c r="I627" s="47"/>
    </row>
    <row r="628" spans="9:9">
      <c r="I628" s="47"/>
    </row>
    <row r="629" spans="9:9">
      <c r="I629" s="47"/>
    </row>
    <row r="630" spans="9:9">
      <c r="I630" s="47"/>
    </row>
    <row r="631" spans="9:9">
      <c r="I631" s="47"/>
    </row>
    <row r="632" spans="9:9">
      <c r="I632" s="47"/>
    </row>
    <row r="633" spans="9:9">
      <c r="I633" s="47"/>
    </row>
    <row r="634" spans="9:9">
      <c r="I634" s="47"/>
    </row>
    <row r="635" spans="9:9">
      <c r="I635" s="47"/>
    </row>
    <row r="636" spans="9:9">
      <c r="I636" s="47"/>
    </row>
    <row r="637" spans="9:9">
      <c r="I637" s="47"/>
    </row>
    <row r="638" spans="9:9">
      <c r="I638" s="47"/>
    </row>
    <row r="639" spans="9:9">
      <c r="I639" s="47"/>
    </row>
    <row r="640" spans="9:9">
      <c r="I640" s="47"/>
    </row>
    <row r="641" spans="9:9">
      <c r="I641" s="47"/>
    </row>
    <row r="642" spans="9:9">
      <c r="I642" s="47"/>
    </row>
    <row r="643" spans="9:9">
      <c r="I643" s="47"/>
    </row>
    <row r="644" spans="9:9">
      <c r="I644" s="47"/>
    </row>
    <row r="645" spans="9:9">
      <c r="I645" s="47"/>
    </row>
    <row r="646" spans="9:9">
      <c r="I646" s="47"/>
    </row>
    <row r="647" spans="9:9">
      <c r="I647" s="47"/>
    </row>
    <row r="648" spans="9:9">
      <c r="I648" s="47"/>
    </row>
    <row r="649" spans="9:9">
      <c r="I649" s="47"/>
    </row>
    <row r="650" spans="9:9">
      <c r="I650" s="47"/>
    </row>
    <row r="651" spans="9:9">
      <c r="I651" s="47"/>
    </row>
    <row r="652" spans="9:9">
      <c r="I652" s="47"/>
    </row>
    <row r="653" spans="9:9">
      <c r="I653" s="47"/>
    </row>
    <row r="654" spans="9:9">
      <c r="I654" s="47"/>
    </row>
    <row r="655" spans="9:9">
      <c r="I655" s="47"/>
    </row>
    <row r="656" spans="9:9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  <row r="716" spans="9:9">
      <c r="I716" s="47"/>
    </row>
    <row r="717" spans="9:9">
      <c r="I717" s="47"/>
    </row>
    <row r="718" spans="9:9">
      <c r="I718" s="47"/>
    </row>
    <row r="719" spans="9:9">
      <c r="I719" s="47"/>
    </row>
    <row r="720" spans="9:9">
      <c r="I720" s="47"/>
    </row>
    <row r="721" spans="9:9">
      <c r="I721" s="47"/>
    </row>
    <row r="722" spans="9:9">
      <c r="I722" s="47"/>
    </row>
    <row r="723" spans="9:9">
      <c r="I723" s="47"/>
    </row>
    <row r="724" spans="9:9">
      <c r="I724" s="47"/>
    </row>
    <row r="725" spans="9:9">
      <c r="I725" s="47"/>
    </row>
    <row r="726" spans="9:9">
      <c r="I726" s="47"/>
    </row>
    <row r="727" spans="9:9">
      <c r="I727" s="47"/>
    </row>
    <row r="728" spans="9:9">
      <c r="I728" s="47"/>
    </row>
    <row r="729" spans="9:9">
      <c r="I729" s="47"/>
    </row>
    <row r="730" spans="9:9">
      <c r="I730" s="47"/>
    </row>
    <row r="731" spans="9:9">
      <c r="I731" s="47"/>
    </row>
    <row r="732" spans="9:9">
      <c r="I732" s="47"/>
    </row>
    <row r="733" spans="9:9">
      <c r="I733" s="47"/>
    </row>
    <row r="734" spans="9:9">
      <c r="I734" s="47"/>
    </row>
    <row r="735" spans="9:9">
      <c r="I735" s="47"/>
    </row>
    <row r="736" spans="9:9">
      <c r="I736" s="47"/>
    </row>
    <row r="737" spans="9:9">
      <c r="I737" s="47"/>
    </row>
    <row r="738" spans="9:9">
      <c r="I738" s="47"/>
    </row>
    <row r="739" spans="9:9">
      <c r="I739" s="47"/>
    </row>
    <row r="740" spans="9:9">
      <c r="I740" s="47"/>
    </row>
    <row r="741" spans="9:9">
      <c r="I741" s="47"/>
    </row>
    <row r="742" spans="9:9">
      <c r="I742" s="47"/>
    </row>
    <row r="743" spans="9:9">
      <c r="I743" s="47"/>
    </row>
    <row r="744" spans="9:9">
      <c r="I744" s="47"/>
    </row>
    <row r="745" spans="9:9">
      <c r="I745" s="47"/>
    </row>
    <row r="746" spans="9:9">
      <c r="I746" s="47"/>
    </row>
    <row r="747" spans="9:9">
      <c r="I747" s="47"/>
    </row>
    <row r="748" spans="9:9">
      <c r="I748" s="47"/>
    </row>
    <row r="749" spans="9:9">
      <c r="I749" s="47"/>
    </row>
    <row r="750" spans="9:9">
      <c r="I750" s="47"/>
    </row>
    <row r="751" spans="9:9">
      <c r="I751" s="47"/>
    </row>
    <row r="752" spans="9:9">
      <c r="I752" s="47"/>
    </row>
    <row r="753" spans="9:9">
      <c r="I753" s="47"/>
    </row>
    <row r="754" spans="9:9">
      <c r="I754" s="47"/>
    </row>
    <row r="755" spans="9:9">
      <c r="I755" s="47"/>
    </row>
    <row r="756" spans="9:9">
      <c r="I756" s="47"/>
    </row>
    <row r="757" spans="9:9">
      <c r="I757" s="47"/>
    </row>
    <row r="758" spans="9:9">
      <c r="I758" s="47"/>
    </row>
    <row r="759" spans="9:9">
      <c r="I759" s="47"/>
    </row>
    <row r="760" spans="9:9">
      <c r="I760" s="47"/>
    </row>
    <row r="761" spans="9:9">
      <c r="I761" s="47"/>
    </row>
    <row r="762" spans="9:9">
      <c r="I762" s="47"/>
    </row>
    <row r="763" spans="9:9">
      <c r="I763" s="47"/>
    </row>
    <row r="764" spans="9:9">
      <c r="I764" s="47"/>
    </row>
    <row r="765" spans="9:9">
      <c r="I765" s="47"/>
    </row>
    <row r="766" spans="9:9">
      <c r="I766" s="47"/>
    </row>
    <row r="767" spans="9:9">
      <c r="I767" s="47"/>
    </row>
    <row r="768" spans="9:9">
      <c r="I768" s="47"/>
    </row>
    <row r="769" spans="9:9">
      <c r="I769" s="47"/>
    </row>
    <row r="770" spans="9:9">
      <c r="I770" s="47"/>
    </row>
    <row r="771" spans="9:9">
      <c r="I771" s="47"/>
    </row>
    <row r="772" spans="9:9">
      <c r="I772" s="47"/>
    </row>
    <row r="773" spans="9:9">
      <c r="I773" s="47"/>
    </row>
    <row r="774" spans="9:9">
      <c r="I774" s="47"/>
    </row>
    <row r="775" spans="9:9">
      <c r="I775" s="47"/>
    </row>
    <row r="776" spans="9:9">
      <c r="I776" s="47"/>
    </row>
    <row r="777" spans="9:9">
      <c r="I777" s="47"/>
    </row>
    <row r="778" spans="9:9">
      <c r="I778" s="47"/>
    </row>
    <row r="779" spans="9:9">
      <c r="I779" s="47"/>
    </row>
    <row r="780" spans="9:9">
      <c r="I780" s="47"/>
    </row>
    <row r="781" spans="9:9">
      <c r="I781" s="47"/>
    </row>
    <row r="782" spans="9:9">
      <c r="I782" s="47"/>
    </row>
    <row r="783" spans="9:9">
      <c r="I783" s="47"/>
    </row>
    <row r="784" spans="9:9">
      <c r="I784" s="47"/>
    </row>
    <row r="785" spans="9:9">
      <c r="I785" s="47"/>
    </row>
    <row r="786" spans="9:9">
      <c r="I786" s="47"/>
    </row>
    <row r="787" spans="9:9">
      <c r="I787" s="47"/>
    </row>
    <row r="788" spans="9:9">
      <c r="I788" s="47"/>
    </row>
    <row r="789" spans="9:9">
      <c r="I789" s="47"/>
    </row>
    <row r="790" spans="9:9">
      <c r="I790" s="47"/>
    </row>
    <row r="791" spans="9:9">
      <c r="I791" s="47"/>
    </row>
    <row r="792" spans="9:9">
      <c r="I792" s="47"/>
    </row>
    <row r="793" spans="9:9">
      <c r="I793" s="47"/>
    </row>
    <row r="794" spans="9:9">
      <c r="I794" s="47"/>
    </row>
    <row r="795" spans="9:9">
      <c r="I795" s="47"/>
    </row>
    <row r="796" spans="9:9">
      <c r="I796" s="47"/>
    </row>
    <row r="797" spans="9:9">
      <c r="I797" s="47"/>
    </row>
    <row r="798" spans="9:9">
      <c r="I798" s="47"/>
    </row>
    <row r="799" spans="9:9">
      <c r="I799" s="47"/>
    </row>
    <row r="800" spans="9:9">
      <c r="I800" s="47"/>
    </row>
    <row r="801" spans="9:9">
      <c r="I801" s="47"/>
    </row>
    <row r="802" spans="9:9">
      <c r="I802" s="47"/>
    </row>
    <row r="803" spans="9:9">
      <c r="I803" s="47"/>
    </row>
    <row r="804" spans="9:9">
      <c r="I804" s="47"/>
    </row>
    <row r="805" spans="9:9">
      <c r="I805" s="47"/>
    </row>
    <row r="806" spans="9:9">
      <c r="I806" s="47"/>
    </row>
    <row r="807" spans="9:9">
      <c r="I807" s="47"/>
    </row>
    <row r="808" spans="9:9">
      <c r="I808" s="47"/>
    </row>
    <row r="809" spans="9:9">
      <c r="I809" s="47"/>
    </row>
    <row r="810" spans="9:9">
      <c r="I810" s="47"/>
    </row>
    <row r="811" spans="9:9">
      <c r="I811" s="47"/>
    </row>
    <row r="812" spans="9:9">
      <c r="I812" s="47"/>
    </row>
    <row r="813" spans="9:9">
      <c r="I813" s="47"/>
    </row>
    <row r="814" spans="9:9">
      <c r="I814" s="47"/>
    </row>
    <row r="815" spans="9:9">
      <c r="I815" s="47"/>
    </row>
    <row r="816" spans="9:9">
      <c r="I816" s="47"/>
    </row>
    <row r="817" spans="9:9">
      <c r="I817" s="47"/>
    </row>
    <row r="818" spans="9:9">
      <c r="I818" s="47"/>
    </row>
    <row r="819" spans="9:9">
      <c r="I819" s="47"/>
    </row>
    <row r="820" spans="9:9">
      <c r="I820" s="47"/>
    </row>
    <row r="821" spans="9:9">
      <c r="I821" s="47"/>
    </row>
    <row r="822" spans="9:9">
      <c r="I822" s="47"/>
    </row>
    <row r="823" spans="9:9">
      <c r="I823" s="47"/>
    </row>
    <row r="824" spans="9:9">
      <c r="I824" s="47"/>
    </row>
    <row r="825" spans="9:9">
      <c r="I825" s="47"/>
    </row>
    <row r="826" spans="9:9">
      <c r="I826" s="47"/>
    </row>
    <row r="827" spans="9:9">
      <c r="I827" s="47"/>
    </row>
    <row r="828" spans="9:9">
      <c r="I828" s="47"/>
    </row>
    <row r="829" spans="9:9">
      <c r="I829" s="47"/>
    </row>
    <row r="830" spans="9:9">
      <c r="I830" s="47"/>
    </row>
    <row r="831" spans="9:9">
      <c r="I831" s="47"/>
    </row>
    <row r="832" spans="9:9">
      <c r="I832" s="47"/>
    </row>
    <row r="833" spans="9:9">
      <c r="I833" s="47"/>
    </row>
    <row r="834" spans="9:9">
      <c r="I834" s="47"/>
    </row>
    <row r="835" spans="9:9">
      <c r="I835" s="47"/>
    </row>
    <row r="836" spans="9:9">
      <c r="I836" s="47"/>
    </row>
    <row r="837" spans="9:9">
      <c r="I837" s="47"/>
    </row>
    <row r="838" spans="9:9">
      <c r="I838" s="47"/>
    </row>
    <row r="839" spans="9:9">
      <c r="I839" s="47"/>
    </row>
    <row r="840" spans="9:9">
      <c r="I840" s="47"/>
    </row>
    <row r="841" spans="9:9">
      <c r="I841" s="47"/>
    </row>
    <row r="842" spans="9:9">
      <c r="I842" s="47"/>
    </row>
    <row r="843" spans="9:9">
      <c r="I843" s="47"/>
    </row>
    <row r="844" spans="9:9">
      <c r="I844" s="47"/>
    </row>
    <row r="845" spans="9:9">
      <c r="I845" s="47"/>
    </row>
    <row r="846" spans="9:9">
      <c r="I846" s="47"/>
    </row>
    <row r="847" spans="9:9">
      <c r="I847" s="47"/>
    </row>
    <row r="848" spans="9:9">
      <c r="I848" s="47"/>
    </row>
    <row r="849" spans="9:9">
      <c r="I849" s="47"/>
    </row>
    <row r="850" spans="9:9">
      <c r="I850" s="47"/>
    </row>
    <row r="851" spans="9:9">
      <c r="I851" s="47"/>
    </row>
    <row r="852" spans="9:9">
      <c r="I852" s="47"/>
    </row>
    <row r="853" spans="9:9">
      <c r="I853" s="47"/>
    </row>
    <row r="854" spans="9:9">
      <c r="I854" s="47"/>
    </row>
    <row r="855" spans="9:9">
      <c r="I855" s="47"/>
    </row>
    <row r="856" spans="9:9">
      <c r="I856" s="47"/>
    </row>
    <row r="857" spans="9:9">
      <c r="I857" s="47"/>
    </row>
    <row r="858" spans="9:9">
      <c r="I858" s="47"/>
    </row>
    <row r="859" spans="9:9">
      <c r="I859" s="47"/>
    </row>
    <row r="860" spans="9:9">
      <c r="I860" s="47"/>
    </row>
    <row r="861" spans="9:9">
      <c r="I861" s="47"/>
    </row>
    <row r="862" spans="9:9">
      <c r="I862" s="47"/>
    </row>
    <row r="863" spans="9:9">
      <c r="I863" s="47"/>
    </row>
    <row r="864" spans="9:9">
      <c r="I864" s="47"/>
    </row>
    <row r="865" spans="9:9">
      <c r="I865" s="47"/>
    </row>
    <row r="866" spans="9:9">
      <c r="I866" s="47"/>
    </row>
    <row r="867" spans="9:9">
      <c r="I867" s="47"/>
    </row>
    <row r="868" spans="9:9">
      <c r="I868" s="47"/>
    </row>
    <row r="869" spans="9:9">
      <c r="I869" s="47"/>
    </row>
    <row r="870" spans="9:9">
      <c r="I870" s="47"/>
    </row>
    <row r="871" spans="9:9">
      <c r="I871" s="47"/>
    </row>
    <row r="872" spans="9:9">
      <c r="I872" s="47"/>
    </row>
    <row r="873" spans="9:9">
      <c r="I873" s="47"/>
    </row>
    <row r="874" spans="9:9">
      <c r="I874" s="47"/>
    </row>
    <row r="875" spans="9:9">
      <c r="I875" s="47"/>
    </row>
    <row r="876" spans="9:9">
      <c r="I876" s="47"/>
    </row>
    <row r="877" spans="9:9">
      <c r="I877" s="47"/>
    </row>
    <row r="878" spans="9:9">
      <c r="I878" s="47"/>
    </row>
    <row r="879" spans="9:9">
      <c r="I879" s="47"/>
    </row>
    <row r="880" spans="9:9">
      <c r="I880" s="47"/>
    </row>
    <row r="881" spans="9:9">
      <c r="I881" s="47"/>
    </row>
    <row r="882" spans="9:9">
      <c r="I882" s="47"/>
    </row>
    <row r="883" spans="9:9">
      <c r="I883" s="47"/>
    </row>
    <row r="884" spans="9:9">
      <c r="I884" s="47"/>
    </row>
    <row r="885" spans="9:9">
      <c r="I885" s="47"/>
    </row>
    <row r="886" spans="9:9">
      <c r="I886" s="47"/>
    </row>
    <row r="887" spans="9:9">
      <c r="I887" s="47"/>
    </row>
    <row r="888" spans="9:9">
      <c r="I888" s="47"/>
    </row>
    <row r="889" spans="9:9">
      <c r="I889" s="47"/>
    </row>
    <row r="890" spans="9:9">
      <c r="I890" s="47"/>
    </row>
    <row r="891" spans="9:9">
      <c r="I891" s="47"/>
    </row>
    <row r="892" spans="9:9">
      <c r="I892" s="47"/>
    </row>
    <row r="893" spans="9:9">
      <c r="I893" s="47"/>
    </row>
    <row r="894" spans="9:9">
      <c r="I894" s="47"/>
    </row>
    <row r="895" spans="9:9">
      <c r="I895" s="47"/>
    </row>
    <row r="896" spans="9:9">
      <c r="I896" s="47"/>
    </row>
    <row r="897" spans="9:9">
      <c r="I897" s="47"/>
    </row>
    <row r="898" spans="9:9">
      <c r="I898" s="47"/>
    </row>
    <row r="899" spans="9:9">
      <c r="I899" s="47"/>
    </row>
    <row r="900" spans="9:9">
      <c r="I900" s="47"/>
    </row>
    <row r="901" spans="9:9">
      <c r="I901" s="47"/>
    </row>
    <row r="902" spans="9:9">
      <c r="I902" s="47"/>
    </row>
    <row r="903" spans="9:9">
      <c r="I903" s="47"/>
    </row>
    <row r="904" spans="9:9">
      <c r="I904" s="47"/>
    </row>
    <row r="905" spans="9:9">
      <c r="I905" s="47"/>
    </row>
    <row r="906" spans="9:9">
      <c r="I906" s="47"/>
    </row>
    <row r="907" spans="9:9">
      <c r="I907" s="47"/>
    </row>
    <row r="908" spans="9:9">
      <c r="I908" s="47"/>
    </row>
    <row r="909" spans="9:9">
      <c r="I909" s="47"/>
    </row>
    <row r="910" spans="9:9">
      <c r="I910" s="47"/>
    </row>
    <row r="911" spans="9:9">
      <c r="I911" s="47"/>
    </row>
    <row r="912" spans="9:9">
      <c r="I912" s="47"/>
    </row>
    <row r="913" spans="9:9">
      <c r="I913" s="47"/>
    </row>
    <row r="914" spans="9:9">
      <c r="I914" s="47"/>
    </row>
    <row r="915" spans="9:9">
      <c r="I915" s="47"/>
    </row>
    <row r="916" spans="9:9">
      <c r="I916" s="47"/>
    </row>
    <row r="917" spans="9:9">
      <c r="I917" s="47"/>
    </row>
    <row r="918" spans="9:9">
      <c r="I918" s="47"/>
    </row>
    <row r="919" spans="9:9">
      <c r="I919" s="47"/>
    </row>
    <row r="920" spans="9:9">
      <c r="I920" s="47"/>
    </row>
    <row r="921" spans="9:9">
      <c r="I921" s="47"/>
    </row>
    <row r="922" spans="9:9">
      <c r="I922" s="47"/>
    </row>
    <row r="923" spans="9:9">
      <c r="I923" s="47"/>
    </row>
    <row r="924" spans="9:9">
      <c r="I924" s="47"/>
    </row>
    <row r="925" spans="9:9">
      <c r="I925" s="47"/>
    </row>
    <row r="926" spans="9:9">
      <c r="I926" s="47"/>
    </row>
    <row r="927" spans="9:9">
      <c r="I927" s="47"/>
    </row>
    <row r="928" spans="9:9">
      <c r="I928" s="47"/>
    </row>
    <row r="929" spans="9:9">
      <c r="I929" s="47"/>
    </row>
    <row r="930" spans="9:9">
      <c r="I930" s="47"/>
    </row>
    <row r="931" spans="9:9">
      <c r="I931" s="47"/>
    </row>
    <row r="932" spans="9:9">
      <c r="I932" s="47"/>
    </row>
    <row r="933" spans="9:9">
      <c r="I933" s="47"/>
    </row>
    <row r="934" spans="9:9">
      <c r="I934" s="47"/>
    </row>
    <row r="935" spans="9:9">
      <c r="I935" s="47"/>
    </row>
    <row r="936" spans="9:9">
      <c r="I936" s="47"/>
    </row>
    <row r="937" spans="9:9">
      <c r="I937" s="47"/>
    </row>
    <row r="938" spans="9:9">
      <c r="I938" s="47"/>
    </row>
    <row r="939" spans="9:9">
      <c r="I939" s="47"/>
    </row>
    <row r="940" spans="9:9">
      <c r="I940" s="47"/>
    </row>
    <row r="941" spans="9:9">
      <c r="I941" s="47"/>
    </row>
    <row r="942" spans="9:9">
      <c r="I942" s="47"/>
    </row>
    <row r="943" spans="9:9">
      <c r="I943" s="47"/>
    </row>
    <row r="944" spans="9:9">
      <c r="I944" s="47"/>
    </row>
    <row r="945" spans="9:9">
      <c r="I945" s="47"/>
    </row>
    <row r="946" spans="9:9">
      <c r="I946" s="47"/>
    </row>
    <row r="947" spans="9:9">
      <c r="I947" s="47"/>
    </row>
    <row r="948" spans="9:9">
      <c r="I948" s="47"/>
    </row>
    <row r="949" spans="9:9">
      <c r="I949" s="47"/>
    </row>
    <row r="950" spans="9:9">
      <c r="I950" s="47"/>
    </row>
    <row r="951" spans="9:9">
      <c r="I951" s="47"/>
    </row>
    <row r="952" spans="9:9">
      <c r="I952" s="47"/>
    </row>
    <row r="953" spans="9:9">
      <c r="I953" s="47"/>
    </row>
    <row r="954" spans="9:9">
      <c r="I954" s="47"/>
    </row>
    <row r="955" spans="9:9">
      <c r="I955" s="47"/>
    </row>
    <row r="956" spans="9:9">
      <c r="I956" s="47"/>
    </row>
    <row r="957" spans="9:9">
      <c r="I957" s="47"/>
    </row>
    <row r="958" spans="9:9">
      <c r="I958" s="47"/>
    </row>
    <row r="959" spans="9:9">
      <c r="I959" s="47"/>
    </row>
    <row r="960" spans="9:9">
      <c r="I960" s="47"/>
    </row>
    <row r="961" spans="9:9">
      <c r="I961" s="47"/>
    </row>
    <row r="962" spans="9:9">
      <c r="I962" s="47"/>
    </row>
    <row r="963" spans="9:9">
      <c r="I963" s="47"/>
    </row>
    <row r="964" spans="9:9">
      <c r="I964" s="47"/>
    </row>
    <row r="965" spans="9:9">
      <c r="I965" s="47"/>
    </row>
    <row r="966" spans="9:9">
      <c r="I966" s="47"/>
    </row>
    <row r="967" spans="9:9">
      <c r="I967" s="47"/>
    </row>
    <row r="968" spans="9:9">
      <c r="I968" s="47"/>
    </row>
    <row r="969" spans="9:9">
      <c r="I969" s="47"/>
    </row>
    <row r="970" spans="9:9">
      <c r="I970" s="47"/>
    </row>
    <row r="971" spans="9:9">
      <c r="I971" s="47"/>
    </row>
    <row r="972" spans="9:9">
      <c r="I972" s="47"/>
    </row>
    <row r="973" spans="9:9">
      <c r="I973" s="47"/>
    </row>
    <row r="974" spans="9:9">
      <c r="I974" s="47"/>
    </row>
    <row r="975" spans="9:9">
      <c r="I975" s="47"/>
    </row>
    <row r="976" spans="9:9">
      <c r="I976" s="47"/>
    </row>
    <row r="977" spans="9:9">
      <c r="I977" s="47"/>
    </row>
    <row r="978" spans="9:9">
      <c r="I978" s="47"/>
    </row>
    <row r="979" spans="9:9">
      <c r="I979" s="47"/>
    </row>
    <row r="980" spans="9:9">
      <c r="I980" s="47"/>
    </row>
    <row r="981" spans="9:9">
      <c r="I981" s="47"/>
    </row>
    <row r="982" spans="9:9">
      <c r="I982" s="47"/>
    </row>
    <row r="983" spans="9:9">
      <c r="I983" s="47"/>
    </row>
    <row r="984" spans="9:9">
      <c r="I984" s="47"/>
    </row>
    <row r="985" spans="9:9">
      <c r="I985" s="47"/>
    </row>
    <row r="986" spans="9:9">
      <c r="I986" s="47"/>
    </row>
    <row r="987" spans="9:9">
      <c r="I987" s="47"/>
    </row>
    <row r="988" spans="9:9">
      <c r="I988" s="47"/>
    </row>
    <row r="989" spans="9:9">
      <c r="I989" s="47"/>
    </row>
    <row r="990" spans="9:9">
      <c r="I990" s="47"/>
    </row>
    <row r="991" spans="9:9">
      <c r="I991" s="47"/>
    </row>
    <row r="992" spans="9:9">
      <c r="I992" s="47"/>
    </row>
    <row r="993" spans="9:9">
      <c r="I993" s="47"/>
    </row>
    <row r="994" spans="9:9">
      <c r="I994" s="47"/>
    </row>
    <row r="995" spans="9:9">
      <c r="I995" s="47"/>
    </row>
    <row r="996" spans="9:9">
      <c r="I996" s="47"/>
    </row>
    <row r="997" spans="9:9">
      <c r="I997" s="47"/>
    </row>
    <row r="998" spans="9:9">
      <c r="I998" s="47"/>
    </row>
    <row r="999" spans="9:9">
      <c r="I999" s="47"/>
    </row>
  </sheetData>
  <sheetProtection formatCells="0" formatColumns="0" formatRows="0" insertColumns="0" insertRows="0" insertHyperlinks="0" deleteColumns="0" deleteRows="0" sort="0" autoFilter="0" pivotTables="0"/>
  <mergeCells count="8">
    <mergeCell ref="J19:N19"/>
    <mergeCell ref="J6:S17"/>
    <mergeCell ref="B6:B8"/>
    <mergeCell ref="C6:F6"/>
    <mergeCell ref="G6:H6"/>
    <mergeCell ref="C7:H7"/>
    <mergeCell ref="C8:E8"/>
    <mergeCell ref="F8:H8"/>
  </mergeCells>
  <conditionalFormatting sqref="C10:H13">
    <cfRule type="cellIs" dxfId="14" priority="27" operator="lessThan">
      <formula>0</formula>
    </cfRule>
    <cfRule type="cellIs" dxfId="13" priority="30" operator="lessThanOrEqual">
      <formula>0</formula>
    </cfRule>
  </conditionalFormatting>
  <conditionalFormatting sqref="C13:H13">
    <cfRule type="cellIs" dxfId="12" priority="29" operator="greaterThan">
      <formula>0</formula>
    </cfRule>
  </conditionalFormatting>
  <conditionalFormatting sqref="C10:H11">
    <cfRule type="cellIs" dxfId="11" priority="28" operator="greaterThan">
      <formula>0</formula>
    </cfRule>
  </conditionalFormatting>
  <conditionalFormatting sqref="C14:H14">
    <cfRule type="cellIs" dxfId="10" priority="1" operator="lessThan">
      <formula>0</formula>
    </cfRule>
    <cfRule type="cellIs" dxfId="9" priority="3" operator="lessThanOrEqual">
      <formula>0</formula>
    </cfRule>
  </conditionalFormatting>
  <conditionalFormatting sqref="C14:H14">
    <cfRule type="cellIs" dxfId="8" priority="2" operator="greaterThan">
      <formula>0</formula>
    </cfRule>
  </conditionalFormatting>
  <pageMargins left="0.7" right="0.7" top="0.75" bottom="0.75" header="0.3" footer="0.3"/>
  <pageSetup paperSize="9" orientation="portrait" r:id="rId1"/>
  <ignoredErrors>
    <ignoredError sqref="C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rDatos">
                <anchor moveWithCells="1" sizeWithCells="1">
                  <from>
                    <xdr:col>3</xdr:col>
                    <xdr:colOff>476250</xdr:colOff>
                    <xdr:row>14</xdr:row>
                    <xdr:rowOff>228600</xdr:rowOff>
                  </from>
                  <to>
                    <xdr:col>5</xdr:col>
                    <xdr:colOff>342900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uardarDatos">
                <anchor moveWithCells="1" sizeWithCells="1">
                  <from>
                    <xdr:col>1</xdr:col>
                    <xdr:colOff>1219200</xdr:colOff>
                    <xdr:row>15</xdr:row>
                    <xdr:rowOff>0</xdr:rowOff>
                  </from>
                  <to>
                    <xdr:col>3</xdr:col>
                    <xdr:colOff>304800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Iniciar">
                <anchor moveWithCells="1" sizeWithCells="1">
                  <from>
                    <xdr:col>0</xdr:col>
                    <xdr:colOff>304800</xdr:colOff>
                    <xdr:row>14</xdr:row>
                    <xdr:rowOff>247650</xdr:rowOff>
                  </from>
                  <to>
                    <xdr:col>1</xdr:col>
                    <xdr:colOff>1019175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FinalizarDosisTotal">
                <anchor moveWithCells="1" sizeWithCells="1">
                  <from>
                    <xdr:col>6</xdr:col>
                    <xdr:colOff>38100</xdr:colOff>
                    <xdr:row>14</xdr:row>
                    <xdr:rowOff>228600</xdr:rowOff>
                  </from>
                  <to>
                    <xdr:col>8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FDA5F11D-9EDF-4EEA-A45C-0B39E984108D}">
            <xm:f>Parametros!$B$5</xm:f>
            <x14:dxf>
              <fill>
                <patternFill>
                  <bgColor rgb="FFFFCC99"/>
                </patternFill>
              </fill>
            </x14:dxf>
          </x14:cfRule>
          <x14:cfRule type="cellIs" priority="41" operator="equal" id="{E79282F1-039A-4630-BA29-2E829F75BE25}">
            <xm:f>Parametros!$B$11</xm:f>
            <x14:dxf>
              <fill>
                <patternFill>
                  <bgColor rgb="FFFF6699"/>
                </patternFill>
              </fill>
            </x14:dxf>
          </x14:cfRule>
          <x14:cfRule type="cellIs" priority="42" operator="equal" id="{0E1B090C-EB38-48AD-A825-500BC1104ED4}">
            <xm:f>Parametros!$B$10</xm:f>
            <x14:dxf>
              <fill>
                <patternFill>
                  <bgColor rgb="FFFFFF99"/>
                </patternFill>
              </fill>
            </x14:dxf>
          </x14:cfRule>
          <x14:cfRule type="cellIs" priority="43" operator="equal" id="{0C8BC538-659B-49D7-B832-72CAE4386BDF}">
            <xm:f>Parametros!$B$9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44" operator="equal" id="{9F0C1FD3-5441-49A8-82CC-123F2A1AC93D}">
            <xm:f>Parametros!$B$8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45" operator="equal" id="{68F20E8B-05EF-49B3-825E-311250110C38}">
            <xm:f>Parametros!$B$7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46" operator="equal" id="{BE8CEF5F-30ED-4FCF-8C36-55BD9CD9719F}">
            <xm:f>Parametros!$B$6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47" operator="equal" id="{4D573A65-5270-4E69-9D68-479F1D07B8C2}">
            <xm:f>Parametros!$B$4</xm:f>
            <x14:dxf>
              <fill>
                <patternFill>
                  <bgColor theme="5" tint="0.79998168889431442"/>
                </patternFill>
              </fill>
            </x14:dxf>
          </x14:cfRule>
          <xm:sqref>C7:H7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Parametros!$B$4:$B$38</xm:f>
          </x14:formula1>
          <xm:sqref>C7:H7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B1:BD44"/>
  <sheetViews>
    <sheetView topLeftCell="A25" workbookViewId="0">
      <selection activeCell="D43" sqref="D43"/>
    </sheetView>
  </sheetViews>
  <sheetFormatPr baseColWidth="10" defaultColWidth="11.5" defaultRowHeight="14.25"/>
  <cols>
    <col min="2" max="2" width="20.5" bestFit="1" customWidth="1"/>
    <col min="9" max="9" width="20.5" bestFit="1" customWidth="1"/>
    <col min="16" max="16" width="20.5" bestFit="1" customWidth="1"/>
    <col min="23" max="23" width="20.5" bestFit="1" customWidth="1"/>
    <col min="30" max="30" width="20.5" bestFit="1" customWidth="1"/>
    <col min="37" max="37" width="20.5" bestFit="1" customWidth="1"/>
    <col min="44" max="44" width="20.5" bestFit="1" customWidth="1"/>
    <col min="51" max="51" width="20.5" bestFit="1" customWidth="1"/>
  </cols>
  <sheetData>
    <row r="1" spans="2:56" ht="15" thickBot="1">
      <c r="C1" s="93" t="s">
        <v>61</v>
      </c>
      <c r="D1" s="94"/>
      <c r="E1" s="94"/>
      <c r="F1" s="94"/>
      <c r="G1" s="94"/>
      <c r="J1" s="93" t="s">
        <v>62</v>
      </c>
      <c r="K1" s="94"/>
      <c r="L1" s="94"/>
      <c r="M1" s="94"/>
      <c r="N1" s="94"/>
      <c r="Q1" s="93" t="s">
        <v>63</v>
      </c>
      <c r="R1" s="94"/>
      <c r="S1" s="94"/>
      <c r="T1" s="94"/>
      <c r="U1" s="94"/>
      <c r="X1" s="93" t="s">
        <v>64</v>
      </c>
      <c r="Y1" s="94"/>
      <c r="Z1" s="94"/>
      <c r="AA1" s="94"/>
      <c r="AB1" s="94"/>
      <c r="AE1" s="93" t="s">
        <v>65</v>
      </c>
      <c r="AF1" s="94"/>
      <c r="AG1" s="94"/>
      <c r="AH1" s="94"/>
      <c r="AI1" s="94"/>
      <c r="AL1" s="93" t="s">
        <v>66</v>
      </c>
      <c r="AM1" s="94"/>
      <c r="AN1" s="94"/>
      <c r="AO1" s="94"/>
      <c r="AP1" s="94"/>
      <c r="AS1" s="93" t="s">
        <v>67</v>
      </c>
      <c r="AT1" s="94"/>
      <c r="AU1" s="94"/>
      <c r="AV1" s="94"/>
      <c r="AW1" s="94"/>
      <c r="AZ1" s="93" t="s">
        <v>68</v>
      </c>
      <c r="BA1" s="94"/>
      <c r="BB1" s="94"/>
      <c r="BC1" s="94"/>
      <c r="BD1" s="94"/>
    </row>
    <row r="2" spans="2:56" ht="16.5" thickTop="1" thickBot="1">
      <c r="C2" s="92" t="s">
        <v>57</v>
      </c>
      <c r="D2" s="92"/>
      <c r="E2" s="92"/>
      <c r="F2" s="92" t="s">
        <v>37</v>
      </c>
      <c r="G2" s="92"/>
      <c r="H2" s="27"/>
      <c r="J2" s="92" t="s">
        <v>57</v>
      </c>
      <c r="K2" s="92"/>
      <c r="L2" s="92"/>
      <c r="M2" s="92" t="s">
        <v>37</v>
      </c>
      <c r="N2" s="92"/>
      <c r="Q2" s="92" t="s">
        <v>57</v>
      </c>
      <c r="R2" s="92"/>
      <c r="S2" s="92"/>
      <c r="T2" s="92" t="s">
        <v>37</v>
      </c>
      <c r="U2" s="92"/>
      <c r="X2" s="92" t="s">
        <v>57</v>
      </c>
      <c r="Y2" s="92"/>
      <c r="Z2" s="92"/>
      <c r="AA2" s="92" t="s">
        <v>37</v>
      </c>
      <c r="AB2" s="92"/>
      <c r="AE2" s="92" t="s">
        <v>57</v>
      </c>
      <c r="AF2" s="92"/>
      <c r="AG2" s="92"/>
      <c r="AH2" s="92" t="s">
        <v>37</v>
      </c>
      <c r="AI2" s="92"/>
      <c r="AL2" s="92" t="s">
        <v>57</v>
      </c>
      <c r="AM2" s="92"/>
      <c r="AN2" s="92"/>
      <c r="AO2" s="92" t="s">
        <v>37</v>
      </c>
      <c r="AP2" s="92"/>
      <c r="AS2" s="92" t="s">
        <v>57</v>
      </c>
      <c r="AT2" s="92"/>
      <c r="AU2" s="92"/>
      <c r="AV2" s="92" t="s">
        <v>37</v>
      </c>
      <c r="AW2" s="92"/>
      <c r="AZ2" s="92" t="s">
        <v>57</v>
      </c>
      <c r="BA2" s="92"/>
      <c r="BB2" s="92"/>
      <c r="BC2" s="92" t="s">
        <v>37</v>
      </c>
      <c r="BD2" s="92"/>
    </row>
    <row r="3" spans="2:56" ht="16.5" thickTop="1" thickBot="1">
      <c r="B3" s="16" t="s">
        <v>18</v>
      </c>
      <c r="C3" s="17" t="s">
        <v>0</v>
      </c>
      <c r="D3" s="18" t="s">
        <v>1</v>
      </c>
      <c r="E3" s="18" t="s">
        <v>2</v>
      </c>
      <c r="F3" s="18" t="s">
        <v>3</v>
      </c>
      <c r="G3" s="18" t="s">
        <v>4</v>
      </c>
      <c r="H3" s="28"/>
      <c r="I3" s="16" t="s">
        <v>18</v>
      </c>
      <c r="J3" s="17" t="s">
        <v>0</v>
      </c>
      <c r="K3" s="18" t="s">
        <v>1</v>
      </c>
      <c r="L3" s="18" t="s">
        <v>2</v>
      </c>
      <c r="M3" s="18" t="s">
        <v>3</v>
      </c>
      <c r="N3" s="18" t="s">
        <v>4</v>
      </c>
      <c r="P3" s="16" t="s">
        <v>18</v>
      </c>
      <c r="Q3" s="17" t="s">
        <v>0</v>
      </c>
      <c r="R3" s="18" t="s">
        <v>1</v>
      </c>
      <c r="S3" s="18" t="s">
        <v>2</v>
      </c>
      <c r="T3" s="18" t="s">
        <v>3</v>
      </c>
      <c r="U3" s="18" t="s">
        <v>4</v>
      </c>
      <c r="W3" s="16" t="s">
        <v>18</v>
      </c>
      <c r="X3" s="17" t="s">
        <v>0</v>
      </c>
      <c r="Y3" s="18" t="s">
        <v>1</v>
      </c>
      <c r="Z3" s="18" t="s">
        <v>2</v>
      </c>
      <c r="AA3" s="18" t="s">
        <v>3</v>
      </c>
      <c r="AB3" s="18" t="s">
        <v>4</v>
      </c>
      <c r="AD3" s="16" t="s">
        <v>18</v>
      </c>
      <c r="AE3" s="17" t="s">
        <v>0</v>
      </c>
      <c r="AF3" s="18" t="s">
        <v>1</v>
      </c>
      <c r="AG3" s="18" t="s">
        <v>2</v>
      </c>
      <c r="AH3" s="18" t="s">
        <v>3</v>
      </c>
      <c r="AI3" s="18" t="s">
        <v>4</v>
      </c>
      <c r="AK3" s="16" t="s">
        <v>18</v>
      </c>
      <c r="AL3" s="17" t="s">
        <v>0</v>
      </c>
      <c r="AM3" s="18" t="s">
        <v>1</v>
      </c>
      <c r="AN3" s="18" t="s">
        <v>2</v>
      </c>
      <c r="AO3" s="18" t="s">
        <v>3</v>
      </c>
      <c r="AP3" s="18" t="s">
        <v>4</v>
      </c>
      <c r="AR3" s="16" t="s">
        <v>18</v>
      </c>
      <c r="AS3" s="17" t="s">
        <v>0</v>
      </c>
      <c r="AT3" s="18" t="s">
        <v>1</v>
      </c>
      <c r="AU3" s="18" t="s">
        <v>2</v>
      </c>
      <c r="AV3" s="18" t="s">
        <v>3</v>
      </c>
      <c r="AW3" s="18" t="s">
        <v>4</v>
      </c>
      <c r="AY3" s="16" t="s">
        <v>18</v>
      </c>
      <c r="AZ3" s="17" t="s">
        <v>0</v>
      </c>
      <c r="BA3" s="18" t="s">
        <v>1</v>
      </c>
      <c r="BB3" s="18" t="s">
        <v>2</v>
      </c>
      <c r="BC3" s="18" t="s">
        <v>3</v>
      </c>
      <c r="BD3" s="18" t="s">
        <v>4</v>
      </c>
    </row>
    <row r="4" spans="2:56" ht="15.75" thickTop="1" thickBot="1">
      <c r="B4" s="15" t="s">
        <v>10</v>
      </c>
      <c r="C4" s="14">
        <v>24</v>
      </c>
      <c r="D4" s="1">
        <v>31</v>
      </c>
      <c r="E4" s="1">
        <v>1</v>
      </c>
      <c r="F4" s="1">
        <v>120</v>
      </c>
      <c r="G4" s="1">
        <v>100</v>
      </c>
      <c r="I4" s="15" t="s">
        <v>10</v>
      </c>
      <c r="J4" s="14">
        <v>24</v>
      </c>
      <c r="K4" s="1">
        <v>31</v>
      </c>
      <c r="L4" s="1">
        <v>1</v>
      </c>
      <c r="M4" s="1">
        <v>120</v>
      </c>
      <c r="N4" s="1">
        <v>100</v>
      </c>
      <c r="P4" s="15" t="s">
        <v>10</v>
      </c>
      <c r="Q4" s="14">
        <v>24</v>
      </c>
      <c r="R4" s="1">
        <v>31</v>
      </c>
      <c r="S4" s="1">
        <v>1</v>
      </c>
      <c r="T4" s="1">
        <v>120</v>
      </c>
      <c r="U4" s="1">
        <v>100</v>
      </c>
      <c r="W4" s="15" t="s">
        <v>10</v>
      </c>
      <c r="X4" s="14">
        <v>24</v>
      </c>
      <c r="Y4" s="1">
        <v>31</v>
      </c>
      <c r="Z4" s="1">
        <v>1</v>
      </c>
      <c r="AA4" s="1">
        <v>120</v>
      </c>
      <c r="AB4" s="1">
        <v>100</v>
      </c>
      <c r="AD4" s="15" t="s">
        <v>10</v>
      </c>
      <c r="AE4" s="14">
        <v>24</v>
      </c>
      <c r="AF4" s="1">
        <v>31</v>
      </c>
      <c r="AG4" s="1">
        <v>1</v>
      </c>
      <c r="AH4" s="1">
        <v>120</v>
      </c>
      <c r="AI4" s="1">
        <v>100</v>
      </c>
      <c r="AK4" s="15" t="s">
        <v>10</v>
      </c>
      <c r="AL4" s="14">
        <v>24</v>
      </c>
      <c r="AM4" s="1">
        <v>31</v>
      </c>
      <c r="AN4" s="1">
        <v>1</v>
      </c>
      <c r="AO4" s="1">
        <v>120</v>
      </c>
      <c r="AP4" s="1">
        <v>100</v>
      </c>
      <c r="AR4" s="15" t="s">
        <v>10</v>
      </c>
      <c r="AS4" s="14">
        <v>24</v>
      </c>
      <c r="AT4" s="1">
        <v>31</v>
      </c>
      <c r="AU4" s="1">
        <v>1</v>
      </c>
      <c r="AV4" s="1">
        <v>120</v>
      </c>
      <c r="AW4" s="1">
        <v>100</v>
      </c>
      <c r="AY4" s="15" t="s">
        <v>10</v>
      </c>
      <c r="AZ4" s="14">
        <v>24</v>
      </c>
      <c r="BA4" s="1">
        <v>31</v>
      </c>
      <c r="BB4" s="1">
        <v>1</v>
      </c>
      <c r="BC4" s="1">
        <v>120</v>
      </c>
      <c r="BD4" s="1">
        <v>100</v>
      </c>
    </row>
    <row r="5" spans="2:56" ht="15.75" thickTop="1" thickBot="1">
      <c r="B5" s="15" t="s">
        <v>35</v>
      </c>
      <c r="C5" s="14">
        <v>24</v>
      </c>
      <c r="D5" s="1">
        <v>31</v>
      </c>
      <c r="E5" s="1">
        <v>1</v>
      </c>
      <c r="F5" s="1">
        <v>180</v>
      </c>
      <c r="G5" s="1">
        <v>100</v>
      </c>
      <c r="I5" s="15" t="s">
        <v>35</v>
      </c>
      <c r="J5" s="14">
        <v>24</v>
      </c>
      <c r="K5" s="1">
        <v>31</v>
      </c>
      <c r="L5" s="1">
        <v>1</v>
      </c>
      <c r="M5" s="1">
        <v>180</v>
      </c>
      <c r="N5" s="1">
        <v>100</v>
      </c>
      <c r="P5" s="15" t="s">
        <v>35</v>
      </c>
      <c r="Q5" s="14">
        <v>24</v>
      </c>
      <c r="R5" s="1">
        <v>31</v>
      </c>
      <c r="S5" s="1">
        <v>1</v>
      </c>
      <c r="T5" s="1">
        <v>180</v>
      </c>
      <c r="U5" s="1">
        <v>100</v>
      </c>
      <c r="W5" s="15" t="s">
        <v>35</v>
      </c>
      <c r="X5" s="14">
        <v>24</v>
      </c>
      <c r="Y5" s="1">
        <v>31</v>
      </c>
      <c r="Z5" s="1">
        <v>1</v>
      </c>
      <c r="AA5" s="1">
        <v>180</v>
      </c>
      <c r="AB5" s="1">
        <v>100</v>
      </c>
      <c r="AD5" s="15" t="s">
        <v>35</v>
      </c>
      <c r="AE5" s="14">
        <v>24</v>
      </c>
      <c r="AF5" s="1">
        <v>31</v>
      </c>
      <c r="AG5" s="1">
        <v>1</v>
      </c>
      <c r="AH5" s="1">
        <v>180</v>
      </c>
      <c r="AI5" s="1">
        <v>100</v>
      </c>
      <c r="AK5" s="15" t="s">
        <v>35</v>
      </c>
      <c r="AL5" s="14">
        <v>24</v>
      </c>
      <c r="AM5" s="1">
        <v>31</v>
      </c>
      <c r="AN5" s="1">
        <v>1</v>
      </c>
      <c r="AO5" s="1">
        <v>180</v>
      </c>
      <c r="AP5" s="1">
        <v>100</v>
      </c>
      <c r="AR5" s="15" t="s">
        <v>35</v>
      </c>
      <c r="AS5" s="14">
        <v>24</v>
      </c>
      <c r="AT5" s="1">
        <v>31</v>
      </c>
      <c r="AU5" s="1">
        <v>1</v>
      </c>
      <c r="AV5" s="1">
        <v>180</v>
      </c>
      <c r="AW5" s="1">
        <v>100</v>
      </c>
      <c r="AY5" s="15" t="s">
        <v>35</v>
      </c>
      <c r="AZ5" s="14">
        <v>24</v>
      </c>
      <c r="BA5" s="1">
        <v>31</v>
      </c>
      <c r="BB5" s="1">
        <v>1</v>
      </c>
      <c r="BC5" s="1">
        <v>180</v>
      </c>
      <c r="BD5" s="1">
        <v>100</v>
      </c>
    </row>
    <row r="6" spans="2:56" ht="15.75" thickTop="1" thickBot="1">
      <c r="B6" s="15" t="s">
        <v>27</v>
      </c>
      <c r="C6" s="14">
        <v>11</v>
      </c>
      <c r="D6" s="1">
        <v>11</v>
      </c>
      <c r="E6" s="1">
        <v>1</v>
      </c>
      <c r="F6" s="1">
        <v>140</v>
      </c>
      <c r="G6" s="1">
        <v>100</v>
      </c>
      <c r="I6" s="15" t="s">
        <v>27</v>
      </c>
      <c r="J6" s="14">
        <v>11</v>
      </c>
      <c r="K6" s="1">
        <v>11</v>
      </c>
      <c r="L6" s="1">
        <v>1</v>
      </c>
      <c r="M6" s="1">
        <v>140</v>
      </c>
      <c r="N6" s="1">
        <v>100</v>
      </c>
      <c r="P6" s="15" t="s">
        <v>27</v>
      </c>
      <c r="Q6" s="14">
        <v>11</v>
      </c>
      <c r="R6" s="1">
        <v>11</v>
      </c>
      <c r="S6" s="1">
        <v>1</v>
      </c>
      <c r="T6" s="1">
        <v>140</v>
      </c>
      <c r="U6" s="1">
        <v>100</v>
      </c>
      <c r="W6" s="15" t="s">
        <v>27</v>
      </c>
      <c r="X6" s="14">
        <v>11</v>
      </c>
      <c r="Y6" s="1">
        <v>11</v>
      </c>
      <c r="Z6" s="1">
        <v>1</v>
      </c>
      <c r="AA6" s="1">
        <v>140</v>
      </c>
      <c r="AB6" s="1">
        <v>100</v>
      </c>
      <c r="AD6" s="15" t="s">
        <v>27</v>
      </c>
      <c r="AE6" s="14">
        <v>11</v>
      </c>
      <c r="AF6" s="1">
        <v>11</v>
      </c>
      <c r="AG6" s="1">
        <v>1</v>
      </c>
      <c r="AH6" s="1">
        <v>140</v>
      </c>
      <c r="AI6" s="1">
        <v>100</v>
      </c>
      <c r="AK6" s="15" t="s">
        <v>27</v>
      </c>
      <c r="AL6" s="14">
        <v>11</v>
      </c>
      <c r="AM6" s="1">
        <v>11</v>
      </c>
      <c r="AN6" s="1">
        <v>1</v>
      </c>
      <c r="AO6" s="1">
        <v>140</v>
      </c>
      <c r="AP6" s="1">
        <v>100</v>
      </c>
      <c r="AR6" s="15" t="s">
        <v>27</v>
      </c>
      <c r="AS6" s="14">
        <v>11</v>
      </c>
      <c r="AT6" s="1">
        <v>11</v>
      </c>
      <c r="AU6" s="1">
        <v>1</v>
      </c>
      <c r="AV6" s="1">
        <v>140</v>
      </c>
      <c r="AW6" s="1">
        <v>100</v>
      </c>
      <c r="AY6" s="15" t="s">
        <v>27</v>
      </c>
      <c r="AZ6" s="14">
        <v>11</v>
      </c>
      <c r="BA6" s="1">
        <v>11</v>
      </c>
      <c r="BB6" s="1">
        <v>1</v>
      </c>
      <c r="BC6" s="1">
        <v>140</v>
      </c>
      <c r="BD6" s="1">
        <v>100</v>
      </c>
    </row>
    <row r="7" spans="2:56" ht="15.75" thickTop="1" thickBot="1">
      <c r="B7" s="15" t="s">
        <v>24</v>
      </c>
      <c r="C7" s="14">
        <v>24</v>
      </c>
      <c r="D7" s="1">
        <v>16</v>
      </c>
      <c r="E7" s="1">
        <v>1</v>
      </c>
      <c r="F7" s="1">
        <v>140</v>
      </c>
      <c r="G7" s="1">
        <v>100</v>
      </c>
      <c r="I7" s="15" t="s">
        <v>24</v>
      </c>
      <c r="J7" s="14">
        <v>24</v>
      </c>
      <c r="K7" s="1">
        <v>16</v>
      </c>
      <c r="L7" s="1">
        <v>1</v>
      </c>
      <c r="M7" s="1">
        <v>140</v>
      </c>
      <c r="N7" s="1">
        <v>100</v>
      </c>
      <c r="P7" s="15" t="s">
        <v>24</v>
      </c>
      <c r="Q7" s="14">
        <v>24</v>
      </c>
      <c r="R7" s="1">
        <v>16</v>
      </c>
      <c r="S7" s="1">
        <v>1</v>
      </c>
      <c r="T7" s="1">
        <v>140</v>
      </c>
      <c r="U7" s="1">
        <v>100</v>
      </c>
      <c r="W7" s="15" t="s">
        <v>24</v>
      </c>
      <c r="X7" s="14">
        <v>24</v>
      </c>
      <c r="Y7" s="1">
        <v>16</v>
      </c>
      <c r="Z7" s="1">
        <v>1</v>
      </c>
      <c r="AA7" s="1">
        <v>140</v>
      </c>
      <c r="AB7" s="1">
        <v>100</v>
      </c>
      <c r="AD7" s="15" t="s">
        <v>24</v>
      </c>
      <c r="AE7" s="14">
        <v>24</v>
      </c>
      <c r="AF7" s="1">
        <v>16</v>
      </c>
      <c r="AG7" s="1">
        <v>1</v>
      </c>
      <c r="AH7" s="1">
        <v>140</v>
      </c>
      <c r="AI7" s="1">
        <v>100</v>
      </c>
      <c r="AK7" s="15" t="s">
        <v>24</v>
      </c>
      <c r="AL7" s="14">
        <v>24</v>
      </c>
      <c r="AM7" s="1">
        <v>16</v>
      </c>
      <c r="AN7" s="1">
        <v>1</v>
      </c>
      <c r="AO7" s="1">
        <v>140</v>
      </c>
      <c r="AP7" s="1">
        <v>100</v>
      </c>
      <c r="AR7" s="15" t="s">
        <v>24</v>
      </c>
      <c r="AS7" s="14">
        <v>24</v>
      </c>
      <c r="AT7" s="1">
        <v>16</v>
      </c>
      <c r="AU7" s="1">
        <v>1</v>
      </c>
      <c r="AV7" s="1">
        <v>140</v>
      </c>
      <c r="AW7" s="1">
        <v>100</v>
      </c>
      <c r="AY7" s="15" t="s">
        <v>24</v>
      </c>
      <c r="AZ7" s="14">
        <v>24</v>
      </c>
      <c r="BA7" s="1">
        <v>16</v>
      </c>
      <c r="BB7" s="1">
        <v>1</v>
      </c>
      <c r="BC7" s="1">
        <v>140</v>
      </c>
      <c r="BD7" s="1">
        <v>100</v>
      </c>
    </row>
    <row r="8" spans="2:56" ht="15.75" thickTop="1" thickBot="1">
      <c r="B8" s="15" t="s">
        <v>12</v>
      </c>
      <c r="C8" s="14">
        <v>11</v>
      </c>
      <c r="D8" s="1">
        <v>11</v>
      </c>
      <c r="E8" s="1">
        <v>1</v>
      </c>
      <c r="F8" s="1">
        <v>140</v>
      </c>
      <c r="G8" s="1">
        <v>100</v>
      </c>
      <c r="I8" s="15" t="s">
        <v>12</v>
      </c>
      <c r="J8" s="14">
        <v>11</v>
      </c>
      <c r="K8" s="1">
        <v>11</v>
      </c>
      <c r="L8" s="1">
        <v>1</v>
      </c>
      <c r="M8" s="1">
        <v>140</v>
      </c>
      <c r="N8" s="1">
        <v>100</v>
      </c>
      <c r="P8" s="15" t="s">
        <v>12</v>
      </c>
      <c r="Q8" s="14">
        <v>11</v>
      </c>
      <c r="R8" s="1">
        <v>11</v>
      </c>
      <c r="S8" s="1">
        <v>1</v>
      </c>
      <c r="T8" s="1">
        <v>140</v>
      </c>
      <c r="U8" s="1">
        <v>100</v>
      </c>
      <c r="W8" s="15" t="s">
        <v>12</v>
      </c>
      <c r="X8" s="14">
        <v>11</v>
      </c>
      <c r="Y8" s="1">
        <v>11</v>
      </c>
      <c r="Z8" s="1">
        <v>1</v>
      </c>
      <c r="AA8" s="1">
        <v>140</v>
      </c>
      <c r="AB8" s="1">
        <v>100</v>
      </c>
      <c r="AD8" s="15" t="s">
        <v>12</v>
      </c>
      <c r="AE8" s="14">
        <v>11</v>
      </c>
      <c r="AF8" s="1">
        <v>11</v>
      </c>
      <c r="AG8" s="1">
        <v>1</v>
      </c>
      <c r="AH8" s="1">
        <v>140</v>
      </c>
      <c r="AI8" s="1">
        <v>100</v>
      </c>
      <c r="AK8" s="15" t="s">
        <v>12</v>
      </c>
      <c r="AL8" s="14">
        <v>11</v>
      </c>
      <c r="AM8" s="1">
        <v>11</v>
      </c>
      <c r="AN8" s="1">
        <v>1</v>
      </c>
      <c r="AO8" s="1">
        <v>140</v>
      </c>
      <c r="AP8" s="1">
        <v>100</v>
      </c>
      <c r="AR8" s="15" t="s">
        <v>12</v>
      </c>
      <c r="AS8" s="14">
        <v>11</v>
      </c>
      <c r="AT8" s="1">
        <v>11</v>
      </c>
      <c r="AU8" s="1">
        <v>1</v>
      </c>
      <c r="AV8" s="1">
        <v>140</v>
      </c>
      <c r="AW8" s="1">
        <v>100</v>
      </c>
      <c r="AY8" s="15" t="s">
        <v>12</v>
      </c>
      <c r="AZ8" s="14">
        <v>11</v>
      </c>
      <c r="BA8" s="1">
        <v>11</v>
      </c>
      <c r="BB8" s="1">
        <v>1</v>
      </c>
      <c r="BC8" s="1">
        <v>140</v>
      </c>
      <c r="BD8" s="1">
        <v>100</v>
      </c>
    </row>
    <row r="9" spans="2:56" ht="15.75" thickTop="1" thickBot="1">
      <c r="B9" s="15" t="s">
        <v>6</v>
      </c>
      <c r="C9" s="14">
        <v>24</v>
      </c>
      <c r="D9" s="1">
        <v>16</v>
      </c>
      <c r="E9" s="1">
        <v>1</v>
      </c>
      <c r="F9" s="1">
        <v>140</v>
      </c>
      <c r="G9" s="1">
        <v>100</v>
      </c>
      <c r="I9" s="15" t="s">
        <v>6</v>
      </c>
      <c r="J9" s="14">
        <v>24</v>
      </c>
      <c r="K9" s="1">
        <v>16</v>
      </c>
      <c r="L9" s="1">
        <v>1</v>
      </c>
      <c r="M9" s="1">
        <v>140</v>
      </c>
      <c r="N9" s="1">
        <v>100</v>
      </c>
      <c r="P9" s="15" t="s">
        <v>6</v>
      </c>
      <c r="Q9" s="14">
        <v>24</v>
      </c>
      <c r="R9" s="1">
        <v>16</v>
      </c>
      <c r="S9" s="1">
        <v>1</v>
      </c>
      <c r="T9" s="1">
        <v>140</v>
      </c>
      <c r="U9" s="1">
        <v>100</v>
      </c>
      <c r="W9" s="15" t="s">
        <v>6</v>
      </c>
      <c r="X9" s="14">
        <v>24</v>
      </c>
      <c r="Y9" s="1">
        <v>16</v>
      </c>
      <c r="Z9" s="1">
        <v>1</v>
      </c>
      <c r="AA9" s="1">
        <v>140</v>
      </c>
      <c r="AB9" s="1">
        <v>100</v>
      </c>
      <c r="AD9" s="15" t="s">
        <v>6</v>
      </c>
      <c r="AE9" s="14">
        <v>24</v>
      </c>
      <c r="AF9" s="1">
        <v>16</v>
      </c>
      <c r="AG9" s="1">
        <v>1</v>
      </c>
      <c r="AH9" s="1">
        <v>140</v>
      </c>
      <c r="AI9" s="1">
        <v>100</v>
      </c>
      <c r="AK9" s="15" t="s">
        <v>6</v>
      </c>
      <c r="AL9" s="14">
        <v>24</v>
      </c>
      <c r="AM9" s="1">
        <v>16</v>
      </c>
      <c r="AN9" s="1">
        <v>1</v>
      </c>
      <c r="AO9" s="1">
        <v>140</v>
      </c>
      <c r="AP9" s="1">
        <v>100</v>
      </c>
      <c r="AR9" s="15" t="s">
        <v>6</v>
      </c>
      <c r="AS9" s="14">
        <v>24</v>
      </c>
      <c r="AT9" s="1">
        <v>16</v>
      </c>
      <c r="AU9" s="1">
        <v>1</v>
      </c>
      <c r="AV9" s="1">
        <v>140</v>
      </c>
      <c r="AW9" s="1">
        <v>100</v>
      </c>
      <c r="AY9" s="15" t="s">
        <v>6</v>
      </c>
      <c r="AZ9" s="14">
        <v>24</v>
      </c>
      <c r="BA9" s="1">
        <v>16</v>
      </c>
      <c r="BB9" s="1">
        <v>1</v>
      </c>
      <c r="BC9" s="1">
        <v>140</v>
      </c>
      <c r="BD9" s="1">
        <v>100</v>
      </c>
    </row>
    <row r="10" spans="2:56" ht="15.75" thickTop="1" thickBot="1">
      <c r="B10" s="15" t="s">
        <v>46</v>
      </c>
      <c r="C10" s="14">
        <v>24</v>
      </c>
      <c r="D10" s="1">
        <v>16</v>
      </c>
      <c r="E10" s="1">
        <v>1</v>
      </c>
      <c r="F10" s="1">
        <v>140</v>
      </c>
      <c r="G10" s="1">
        <v>100</v>
      </c>
      <c r="I10" s="15" t="s">
        <v>46</v>
      </c>
      <c r="J10" s="14">
        <v>24</v>
      </c>
      <c r="K10" s="1">
        <v>16</v>
      </c>
      <c r="L10" s="1">
        <v>1</v>
      </c>
      <c r="M10" s="1">
        <v>140</v>
      </c>
      <c r="N10" s="1">
        <v>100</v>
      </c>
      <c r="P10" s="15" t="s">
        <v>46</v>
      </c>
      <c r="Q10" s="14">
        <v>24</v>
      </c>
      <c r="R10" s="1">
        <v>16</v>
      </c>
      <c r="S10" s="1">
        <v>1</v>
      </c>
      <c r="T10" s="1">
        <v>140</v>
      </c>
      <c r="U10" s="1">
        <v>100</v>
      </c>
      <c r="W10" s="15" t="s">
        <v>46</v>
      </c>
      <c r="X10" s="14">
        <v>24</v>
      </c>
      <c r="Y10" s="1">
        <v>16</v>
      </c>
      <c r="Z10" s="1">
        <v>1</v>
      </c>
      <c r="AA10" s="1">
        <v>140</v>
      </c>
      <c r="AB10" s="1">
        <v>100</v>
      </c>
      <c r="AD10" s="15" t="s">
        <v>46</v>
      </c>
      <c r="AE10" s="14">
        <v>24</v>
      </c>
      <c r="AF10" s="1">
        <v>16</v>
      </c>
      <c r="AG10" s="1">
        <v>1</v>
      </c>
      <c r="AH10" s="1">
        <v>140</v>
      </c>
      <c r="AI10" s="1">
        <v>100</v>
      </c>
      <c r="AK10" s="15" t="s">
        <v>46</v>
      </c>
      <c r="AL10" s="14">
        <v>24</v>
      </c>
      <c r="AM10" s="1">
        <v>16</v>
      </c>
      <c r="AN10" s="1">
        <v>1</v>
      </c>
      <c r="AO10" s="1">
        <v>140</v>
      </c>
      <c r="AP10" s="1">
        <v>100</v>
      </c>
      <c r="AR10" s="15" t="s">
        <v>46</v>
      </c>
      <c r="AS10" s="14">
        <v>24</v>
      </c>
      <c r="AT10" s="1">
        <v>16</v>
      </c>
      <c r="AU10" s="1">
        <v>1</v>
      </c>
      <c r="AV10" s="1">
        <v>140</v>
      </c>
      <c r="AW10" s="1">
        <v>100</v>
      </c>
      <c r="AY10" s="15" t="s">
        <v>46</v>
      </c>
      <c r="AZ10" s="14">
        <v>24</v>
      </c>
      <c r="BA10" s="1">
        <v>16</v>
      </c>
      <c r="BB10" s="1">
        <v>1</v>
      </c>
      <c r="BC10" s="1">
        <v>140</v>
      </c>
      <c r="BD10" s="1">
        <v>100</v>
      </c>
    </row>
    <row r="11" spans="2:56" ht="15.75" thickTop="1" thickBot="1">
      <c r="B11" s="15" t="s">
        <v>7</v>
      </c>
      <c r="C11" s="14">
        <v>24</v>
      </c>
      <c r="D11" s="1">
        <v>16</v>
      </c>
      <c r="E11" s="1">
        <v>1</v>
      </c>
      <c r="F11" s="1">
        <v>140</v>
      </c>
      <c r="G11" s="1">
        <v>100</v>
      </c>
      <c r="I11" s="15" t="s">
        <v>7</v>
      </c>
      <c r="J11" s="14">
        <v>24</v>
      </c>
      <c r="K11" s="1">
        <v>16</v>
      </c>
      <c r="L11" s="1">
        <v>1</v>
      </c>
      <c r="M11" s="1">
        <v>140</v>
      </c>
      <c r="N11" s="1">
        <v>100</v>
      </c>
      <c r="P11" s="15" t="s">
        <v>7</v>
      </c>
      <c r="Q11" s="14">
        <v>24</v>
      </c>
      <c r="R11" s="1">
        <v>16</v>
      </c>
      <c r="S11" s="1">
        <v>1</v>
      </c>
      <c r="T11" s="1">
        <v>140</v>
      </c>
      <c r="U11" s="1">
        <v>100</v>
      </c>
      <c r="W11" s="15" t="s">
        <v>7</v>
      </c>
      <c r="X11" s="14">
        <v>24</v>
      </c>
      <c r="Y11" s="1">
        <v>16</v>
      </c>
      <c r="Z11" s="1">
        <v>1</v>
      </c>
      <c r="AA11" s="1">
        <v>140</v>
      </c>
      <c r="AB11" s="1">
        <v>100</v>
      </c>
      <c r="AD11" s="15" t="s">
        <v>7</v>
      </c>
      <c r="AE11" s="14">
        <v>24</v>
      </c>
      <c r="AF11" s="1">
        <v>16</v>
      </c>
      <c r="AG11" s="1">
        <v>1</v>
      </c>
      <c r="AH11" s="1">
        <v>140</v>
      </c>
      <c r="AI11" s="1">
        <v>100</v>
      </c>
      <c r="AK11" s="15" t="s">
        <v>7</v>
      </c>
      <c r="AL11" s="14">
        <v>24</v>
      </c>
      <c r="AM11" s="1">
        <v>16</v>
      </c>
      <c r="AN11" s="1">
        <v>1</v>
      </c>
      <c r="AO11" s="1">
        <v>140</v>
      </c>
      <c r="AP11" s="1">
        <v>100</v>
      </c>
      <c r="AR11" s="15" t="s">
        <v>7</v>
      </c>
      <c r="AS11" s="14">
        <v>24</v>
      </c>
      <c r="AT11" s="1">
        <v>16</v>
      </c>
      <c r="AU11" s="1">
        <v>1</v>
      </c>
      <c r="AV11" s="1">
        <v>140</v>
      </c>
      <c r="AW11" s="1">
        <v>100</v>
      </c>
      <c r="AY11" s="15" t="s">
        <v>7</v>
      </c>
      <c r="AZ11" s="14">
        <v>24</v>
      </c>
      <c r="BA11" s="1">
        <v>16</v>
      </c>
      <c r="BB11" s="1">
        <v>1</v>
      </c>
      <c r="BC11" s="1">
        <v>140</v>
      </c>
      <c r="BD11" s="1">
        <v>100</v>
      </c>
    </row>
    <row r="12" spans="2:56" ht="15.75" thickTop="1" thickBot="1">
      <c r="B12" s="15" t="s">
        <v>26</v>
      </c>
      <c r="C12" s="14">
        <v>11</v>
      </c>
      <c r="D12" s="1">
        <v>11</v>
      </c>
      <c r="E12" s="1">
        <v>1</v>
      </c>
      <c r="F12" s="1">
        <v>140</v>
      </c>
      <c r="G12" s="1">
        <v>100</v>
      </c>
      <c r="I12" s="15" t="s">
        <v>26</v>
      </c>
      <c r="J12" s="14">
        <v>11</v>
      </c>
      <c r="K12" s="1">
        <v>11</v>
      </c>
      <c r="L12" s="1">
        <v>1</v>
      </c>
      <c r="M12" s="1">
        <v>140</v>
      </c>
      <c r="N12" s="1">
        <v>100</v>
      </c>
      <c r="P12" s="15" t="s">
        <v>26</v>
      </c>
      <c r="Q12" s="14">
        <v>11</v>
      </c>
      <c r="R12" s="1">
        <v>11</v>
      </c>
      <c r="S12" s="1">
        <v>1</v>
      </c>
      <c r="T12" s="1">
        <v>140</v>
      </c>
      <c r="U12" s="1">
        <v>100</v>
      </c>
      <c r="W12" s="15" t="s">
        <v>26</v>
      </c>
      <c r="X12" s="14">
        <v>11</v>
      </c>
      <c r="Y12" s="1">
        <v>11</v>
      </c>
      <c r="Z12" s="1">
        <v>1</v>
      </c>
      <c r="AA12" s="1">
        <v>140</v>
      </c>
      <c r="AB12" s="1">
        <v>100</v>
      </c>
      <c r="AD12" s="15" t="s">
        <v>26</v>
      </c>
      <c r="AE12" s="14">
        <v>11</v>
      </c>
      <c r="AF12" s="1">
        <v>11</v>
      </c>
      <c r="AG12" s="1">
        <v>1</v>
      </c>
      <c r="AH12" s="1">
        <v>140</v>
      </c>
      <c r="AI12" s="1">
        <v>100</v>
      </c>
      <c r="AK12" s="15" t="s">
        <v>26</v>
      </c>
      <c r="AL12" s="14">
        <v>11</v>
      </c>
      <c r="AM12" s="1">
        <v>11</v>
      </c>
      <c r="AN12" s="1">
        <v>1</v>
      </c>
      <c r="AO12" s="1">
        <v>140</v>
      </c>
      <c r="AP12" s="1">
        <v>100</v>
      </c>
      <c r="AR12" s="15" t="s">
        <v>26</v>
      </c>
      <c r="AS12" s="14">
        <v>11</v>
      </c>
      <c r="AT12" s="1">
        <v>11</v>
      </c>
      <c r="AU12" s="1">
        <v>1</v>
      </c>
      <c r="AV12" s="1">
        <v>140</v>
      </c>
      <c r="AW12" s="1">
        <v>100</v>
      </c>
      <c r="AY12" s="15" t="s">
        <v>26</v>
      </c>
      <c r="AZ12" s="14">
        <v>11</v>
      </c>
      <c r="BA12" s="1">
        <v>11</v>
      </c>
      <c r="BB12" s="1">
        <v>1</v>
      </c>
      <c r="BC12" s="1">
        <v>140</v>
      </c>
      <c r="BD12" s="1">
        <v>100</v>
      </c>
    </row>
    <row r="13" spans="2:56" ht="15.75" thickTop="1" thickBot="1">
      <c r="B13" s="15" t="s">
        <v>31</v>
      </c>
      <c r="C13" s="14">
        <v>24</v>
      </c>
      <c r="D13" s="1">
        <v>31</v>
      </c>
      <c r="E13" s="1">
        <v>1</v>
      </c>
      <c r="F13" s="1">
        <v>180</v>
      </c>
      <c r="G13" s="1">
        <v>100</v>
      </c>
      <c r="I13" s="15" t="s">
        <v>31</v>
      </c>
      <c r="J13" s="14">
        <v>24</v>
      </c>
      <c r="K13" s="1">
        <v>31</v>
      </c>
      <c r="L13" s="1">
        <v>1</v>
      </c>
      <c r="M13" s="1">
        <v>180</v>
      </c>
      <c r="N13" s="1">
        <v>100</v>
      </c>
      <c r="P13" s="15" t="s">
        <v>31</v>
      </c>
      <c r="Q13" s="14">
        <v>24</v>
      </c>
      <c r="R13" s="1">
        <v>31</v>
      </c>
      <c r="S13" s="1">
        <v>1</v>
      </c>
      <c r="T13" s="1">
        <v>180</v>
      </c>
      <c r="U13" s="1">
        <v>100</v>
      </c>
      <c r="W13" s="15" t="s">
        <v>31</v>
      </c>
      <c r="X13" s="14">
        <v>24</v>
      </c>
      <c r="Y13" s="1">
        <v>31</v>
      </c>
      <c r="Z13" s="1">
        <v>1</v>
      </c>
      <c r="AA13" s="1">
        <v>180</v>
      </c>
      <c r="AB13" s="1">
        <v>100</v>
      </c>
      <c r="AD13" s="15" t="s">
        <v>31</v>
      </c>
      <c r="AE13" s="14">
        <v>24</v>
      </c>
      <c r="AF13" s="1">
        <v>31</v>
      </c>
      <c r="AG13" s="1">
        <v>1</v>
      </c>
      <c r="AH13" s="1">
        <v>180</v>
      </c>
      <c r="AI13" s="1">
        <v>100</v>
      </c>
      <c r="AK13" s="15" t="s">
        <v>31</v>
      </c>
      <c r="AL13" s="14">
        <v>24</v>
      </c>
      <c r="AM13" s="1">
        <v>31</v>
      </c>
      <c r="AN13" s="1">
        <v>1</v>
      </c>
      <c r="AO13" s="1">
        <v>180</v>
      </c>
      <c r="AP13" s="1">
        <v>100</v>
      </c>
      <c r="AR13" s="15" t="s">
        <v>31</v>
      </c>
      <c r="AS13" s="14">
        <v>24</v>
      </c>
      <c r="AT13" s="1">
        <v>31</v>
      </c>
      <c r="AU13" s="1">
        <v>1</v>
      </c>
      <c r="AV13" s="1">
        <v>180</v>
      </c>
      <c r="AW13" s="1">
        <v>100</v>
      </c>
      <c r="AY13" s="15" t="s">
        <v>31</v>
      </c>
      <c r="AZ13" s="14">
        <v>24</v>
      </c>
      <c r="BA13" s="1">
        <v>31</v>
      </c>
      <c r="BB13" s="1">
        <v>1</v>
      </c>
      <c r="BC13" s="1">
        <v>180</v>
      </c>
      <c r="BD13" s="1">
        <v>100</v>
      </c>
    </row>
    <row r="14" spans="2:56" ht="15.75" thickTop="1" thickBot="1">
      <c r="B14" s="15" t="s">
        <v>53</v>
      </c>
      <c r="C14" s="14">
        <v>24</v>
      </c>
      <c r="D14" s="1">
        <v>31</v>
      </c>
      <c r="E14" s="1">
        <v>1</v>
      </c>
      <c r="F14" s="1">
        <v>180</v>
      </c>
      <c r="G14" s="1">
        <v>100</v>
      </c>
      <c r="I14" s="15" t="s">
        <v>53</v>
      </c>
      <c r="J14" s="14">
        <v>24</v>
      </c>
      <c r="K14" s="1">
        <v>31</v>
      </c>
      <c r="L14" s="1">
        <v>1</v>
      </c>
      <c r="M14" s="1">
        <v>180</v>
      </c>
      <c r="N14" s="1">
        <v>100</v>
      </c>
      <c r="P14" s="15" t="s">
        <v>53</v>
      </c>
      <c r="Q14" s="14">
        <v>24</v>
      </c>
      <c r="R14" s="1">
        <v>31</v>
      </c>
      <c r="S14" s="1">
        <v>1</v>
      </c>
      <c r="T14" s="1">
        <v>180</v>
      </c>
      <c r="U14" s="1">
        <v>100</v>
      </c>
      <c r="W14" s="15" t="s">
        <v>53</v>
      </c>
      <c r="X14" s="14">
        <v>24</v>
      </c>
      <c r="Y14" s="1">
        <v>31</v>
      </c>
      <c r="Z14" s="1">
        <v>1</v>
      </c>
      <c r="AA14" s="1">
        <v>180</v>
      </c>
      <c r="AB14" s="1">
        <v>100</v>
      </c>
      <c r="AD14" s="15" t="s">
        <v>53</v>
      </c>
      <c r="AE14" s="14">
        <v>24</v>
      </c>
      <c r="AF14" s="1">
        <v>31</v>
      </c>
      <c r="AG14" s="1">
        <v>1</v>
      </c>
      <c r="AH14" s="1">
        <v>180</v>
      </c>
      <c r="AI14" s="1">
        <v>100</v>
      </c>
      <c r="AK14" s="15" t="s">
        <v>53</v>
      </c>
      <c r="AL14" s="14">
        <v>24</v>
      </c>
      <c r="AM14" s="1">
        <v>31</v>
      </c>
      <c r="AN14" s="1">
        <v>1</v>
      </c>
      <c r="AO14" s="1">
        <v>180</v>
      </c>
      <c r="AP14" s="1">
        <v>100</v>
      </c>
      <c r="AR14" s="15" t="s">
        <v>53</v>
      </c>
      <c r="AS14" s="14">
        <v>24</v>
      </c>
      <c r="AT14" s="1">
        <v>31</v>
      </c>
      <c r="AU14" s="1">
        <v>1</v>
      </c>
      <c r="AV14" s="1">
        <v>180</v>
      </c>
      <c r="AW14" s="1">
        <v>100</v>
      </c>
      <c r="AY14" s="15" t="s">
        <v>53</v>
      </c>
      <c r="AZ14" s="14">
        <v>24</v>
      </c>
      <c r="BA14" s="1">
        <v>31</v>
      </c>
      <c r="BB14" s="1">
        <v>1</v>
      </c>
      <c r="BC14" s="1">
        <v>180</v>
      </c>
      <c r="BD14" s="1">
        <v>100</v>
      </c>
    </row>
    <row r="15" spans="2:56" ht="15.75" thickTop="1" thickBot="1">
      <c r="B15" s="15" t="s">
        <v>54</v>
      </c>
      <c r="C15" s="14">
        <v>24</v>
      </c>
      <c r="D15" s="1">
        <v>31</v>
      </c>
      <c r="E15" s="1">
        <v>1</v>
      </c>
      <c r="F15" s="1">
        <v>180</v>
      </c>
      <c r="G15" s="1">
        <v>100</v>
      </c>
      <c r="I15" s="15" t="s">
        <v>54</v>
      </c>
      <c r="J15" s="14">
        <v>24</v>
      </c>
      <c r="K15" s="1">
        <v>31</v>
      </c>
      <c r="L15" s="1">
        <v>1</v>
      </c>
      <c r="M15" s="1">
        <v>180</v>
      </c>
      <c r="N15" s="1">
        <v>100</v>
      </c>
      <c r="P15" s="15" t="s">
        <v>54</v>
      </c>
      <c r="Q15" s="14">
        <v>24</v>
      </c>
      <c r="R15" s="1">
        <v>31</v>
      </c>
      <c r="S15" s="1">
        <v>1</v>
      </c>
      <c r="T15" s="1">
        <v>180</v>
      </c>
      <c r="U15" s="1">
        <v>100</v>
      </c>
      <c r="W15" s="15" t="s">
        <v>54</v>
      </c>
      <c r="X15" s="14">
        <v>24</v>
      </c>
      <c r="Y15" s="1">
        <v>31</v>
      </c>
      <c r="Z15" s="1">
        <v>1</v>
      </c>
      <c r="AA15" s="1">
        <v>180</v>
      </c>
      <c r="AB15" s="1">
        <v>100</v>
      </c>
      <c r="AD15" s="15" t="s">
        <v>54</v>
      </c>
      <c r="AE15" s="14">
        <v>24</v>
      </c>
      <c r="AF15" s="1">
        <v>31</v>
      </c>
      <c r="AG15" s="1">
        <v>1</v>
      </c>
      <c r="AH15" s="1">
        <v>180</v>
      </c>
      <c r="AI15" s="1">
        <v>100</v>
      </c>
      <c r="AK15" s="15" t="s">
        <v>54</v>
      </c>
      <c r="AL15" s="14">
        <v>24</v>
      </c>
      <c r="AM15" s="1">
        <v>31</v>
      </c>
      <c r="AN15" s="1">
        <v>1</v>
      </c>
      <c r="AO15" s="1">
        <v>180</v>
      </c>
      <c r="AP15" s="1">
        <v>100</v>
      </c>
      <c r="AR15" s="15" t="s">
        <v>54</v>
      </c>
      <c r="AS15" s="14">
        <v>24</v>
      </c>
      <c r="AT15" s="1">
        <v>31</v>
      </c>
      <c r="AU15" s="1">
        <v>1</v>
      </c>
      <c r="AV15" s="1">
        <v>180</v>
      </c>
      <c r="AW15" s="1">
        <v>100</v>
      </c>
      <c r="AY15" s="15" t="s">
        <v>54</v>
      </c>
      <c r="AZ15" s="14">
        <v>24</v>
      </c>
      <c r="BA15" s="1">
        <v>31</v>
      </c>
      <c r="BB15" s="1">
        <v>1</v>
      </c>
      <c r="BC15" s="1">
        <v>180</v>
      </c>
      <c r="BD15" s="1">
        <v>100</v>
      </c>
    </row>
    <row r="16" spans="2:56" ht="15.75" thickTop="1" thickBot="1">
      <c r="B16" s="15" t="s">
        <v>33</v>
      </c>
      <c r="C16" s="14">
        <v>24</v>
      </c>
      <c r="D16" s="1">
        <v>31</v>
      </c>
      <c r="E16" s="1">
        <v>1</v>
      </c>
      <c r="F16" s="1">
        <v>120</v>
      </c>
      <c r="G16" s="1">
        <v>100</v>
      </c>
      <c r="I16" s="15" t="s">
        <v>33</v>
      </c>
      <c r="J16" s="14">
        <v>24</v>
      </c>
      <c r="K16" s="1">
        <v>31</v>
      </c>
      <c r="L16" s="1">
        <v>1</v>
      </c>
      <c r="M16" s="1">
        <v>120</v>
      </c>
      <c r="N16" s="1">
        <v>100</v>
      </c>
      <c r="P16" s="15" t="s">
        <v>33</v>
      </c>
      <c r="Q16" s="14">
        <v>24</v>
      </c>
      <c r="R16" s="1">
        <v>31</v>
      </c>
      <c r="S16" s="1">
        <v>1</v>
      </c>
      <c r="T16" s="1">
        <v>120</v>
      </c>
      <c r="U16" s="1">
        <v>100</v>
      </c>
      <c r="W16" s="15" t="s">
        <v>33</v>
      </c>
      <c r="X16" s="14">
        <v>24</v>
      </c>
      <c r="Y16" s="1">
        <v>31</v>
      </c>
      <c r="Z16" s="1">
        <v>1</v>
      </c>
      <c r="AA16" s="1">
        <v>120</v>
      </c>
      <c r="AB16" s="1">
        <v>100</v>
      </c>
      <c r="AD16" s="15" t="s">
        <v>33</v>
      </c>
      <c r="AE16" s="14">
        <v>24</v>
      </c>
      <c r="AF16" s="1">
        <v>31</v>
      </c>
      <c r="AG16" s="1">
        <v>1</v>
      </c>
      <c r="AH16" s="1">
        <v>120</v>
      </c>
      <c r="AI16" s="1">
        <v>100</v>
      </c>
      <c r="AK16" s="15" t="s">
        <v>33</v>
      </c>
      <c r="AL16" s="14">
        <v>24</v>
      </c>
      <c r="AM16" s="1">
        <v>31</v>
      </c>
      <c r="AN16" s="1">
        <v>1</v>
      </c>
      <c r="AO16" s="1">
        <v>120</v>
      </c>
      <c r="AP16" s="1">
        <v>100</v>
      </c>
      <c r="AR16" s="15" t="s">
        <v>33</v>
      </c>
      <c r="AS16" s="14">
        <v>24</v>
      </c>
      <c r="AT16" s="1">
        <v>31</v>
      </c>
      <c r="AU16" s="1">
        <v>1</v>
      </c>
      <c r="AV16" s="1">
        <v>120</v>
      </c>
      <c r="AW16" s="1">
        <v>100</v>
      </c>
      <c r="AY16" s="15" t="s">
        <v>33</v>
      </c>
      <c r="AZ16" s="14">
        <v>24</v>
      </c>
      <c r="BA16" s="1">
        <v>31</v>
      </c>
      <c r="BB16" s="1">
        <v>1</v>
      </c>
      <c r="BC16" s="1">
        <v>120</v>
      </c>
      <c r="BD16" s="1">
        <v>100</v>
      </c>
    </row>
    <row r="17" spans="2:56" ht="15.75" thickTop="1" thickBot="1">
      <c r="B17" s="15" t="s">
        <v>47</v>
      </c>
      <c r="C17" s="14">
        <v>24</v>
      </c>
      <c r="D17" s="1">
        <v>16</v>
      </c>
      <c r="E17" s="1">
        <v>1</v>
      </c>
      <c r="F17" s="1">
        <v>140</v>
      </c>
      <c r="G17" s="1">
        <v>100</v>
      </c>
      <c r="I17" s="15" t="s">
        <v>47</v>
      </c>
      <c r="J17" s="14">
        <v>24</v>
      </c>
      <c r="K17" s="1">
        <v>16</v>
      </c>
      <c r="L17" s="1">
        <v>1</v>
      </c>
      <c r="M17" s="1">
        <v>140</v>
      </c>
      <c r="N17" s="1">
        <v>100</v>
      </c>
      <c r="P17" s="15" t="s">
        <v>47</v>
      </c>
      <c r="Q17" s="14">
        <v>24</v>
      </c>
      <c r="R17" s="1">
        <v>16</v>
      </c>
      <c r="S17" s="1">
        <v>1</v>
      </c>
      <c r="T17" s="1">
        <v>140</v>
      </c>
      <c r="U17" s="1">
        <v>100</v>
      </c>
      <c r="W17" s="15" t="s">
        <v>47</v>
      </c>
      <c r="X17" s="14">
        <v>24</v>
      </c>
      <c r="Y17" s="1">
        <v>16</v>
      </c>
      <c r="Z17" s="1">
        <v>1</v>
      </c>
      <c r="AA17" s="1">
        <v>140</v>
      </c>
      <c r="AB17" s="1">
        <v>100</v>
      </c>
      <c r="AD17" s="15" t="s">
        <v>47</v>
      </c>
      <c r="AE17" s="14">
        <v>24</v>
      </c>
      <c r="AF17" s="1">
        <v>16</v>
      </c>
      <c r="AG17" s="1">
        <v>1</v>
      </c>
      <c r="AH17" s="1">
        <v>140</v>
      </c>
      <c r="AI17" s="1">
        <v>100</v>
      </c>
      <c r="AK17" s="15" t="s">
        <v>47</v>
      </c>
      <c r="AL17" s="14">
        <v>24</v>
      </c>
      <c r="AM17" s="1">
        <v>16</v>
      </c>
      <c r="AN17" s="1">
        <v>1</v>
      </c>
      <c r="AO17" s="1">
        <v>140</v>
      </c>
      <c r="AP17" s="1">
        <v>100</v>
      </c>
      <c r="AR17" s="15" t="s">
        <v>47</v>
      </c>
      <c r="AS17" s="14">
        <v>24</v>
      </c>
      <c r="AT17" s="1">
        <v>16</v>
      </c>
      <c r="AU17" s="1">
        <v>1</v>
      </c>
      <c r="AV17" s="1">
        <v>140</v>
      </c>
      <c r="AW17" s="1">
        <v>100</v>
      </c>
      <c r="AY17" s="15" t="s">
        <v>47</v>
      </c>
      <c r="AZ17" s="14">
        <v>24</v>
      </c>
      <c r="BA17" s="1">
        <v>16</v>
      </c>
      <c r="BB17" s="1">
        <v>1</v>
      </c>
      <c r="BC17" s="1">
        <v>140</v>
      </c>
      <c r="BD17" s="1">
        <v>100</v>
      </c>
    </row>
    <row r="18" spans="2:56" ht="15.75" thickTop="1" thickBot="1">
      <c r="B18" s="15" t="s">
        <v>55</v>
      </c>
      <c r="C18" s="14">
        <v>24</v>
      </c>
      <c r="D18" s="1">
        <v>31</v>
      </c>
      <c r="E18" s="1">
        <v>1</v>
      </c>
      <c r="F18" s="1">
        <v>180</v>
      </c>
      <c r="G18" s="1">
        <v>100</v>
      </c>
      <c r="I18" s="15" t="s">
        <v>55</v>
      </c>
      <c r="J18" s="14">
        <v>24</v>
      </c>
      <c r="K18" s="1">
        <v>31</v>
      </c>
      <c r="L18" s="1">
        <v>1</v>
      </c>
      <c r="M18" s="1">
        <v>180</v>
      </c>
      <c r="N18" s="1">
        <v>100</v>
      </c>
      <c r="P18" s="15" t="s">
        <v>55</v>
      </c>
      <c r="Q18" s="14">
        <v>24</v>
      </c>
      <c r="R18" s="1">
        <v>31</v>
      </c>
      <c r="S18" s="1">
        <v>1</v>
      </c>
      <c r="T18" s="1">
        <v>180</v>
      </c>
      <c r="U18" s="1">
        <v>100</v>
      </c>
      <c r="W18" s="15" t="s">
        <v>55</v>
      </c>
      <c r="X18" s="14">
        <v>24</v>
      </c>
      <c r="Y18" s="1">
        <v>31</v>
      </c>
      <c r="Z18" s="1">
        <v>1</v>
      </c>
      <c r="AA18" s="1">
        <v>180</v>
      </c>
      <c r="AB18" s="1">
        <v>100</v>
      </c>
      <c r="AD18" s="15" t="s">
        <v>55</v>
      </c>
      <c r="AE18" s="14">
        <v>24</v>
      </c>
      <c r="AF18" s="1">
        <v>31</v>
      </c>
      <c r="AG18" s="1">
        <v>1</v>
      </c>
      <c r="AH18" s="1">
        <v>180</v>
      </c>
      <c r="AI18" s="1">
        <v>100</v>
      </c>
      <c r="AK18" s="15" t="s">
        <v>55</v>
      </c>
      <c r="AL18" s="14">
        <v>24</v>
      </c>
      <c r="AM18" s="1">
        <v>31</v>
      </c>
      <c r="AN18" s="1">
        <v>1</v>
      </c>
      <c r="AO18" s="1">
        <v>180</v>
      </c>
      <c r="AP18" s="1">
        <v>100</v>
      </c>
      <c r="AR18" s="15" t="s">
        <v>55</v>
      </c>
      <c r="AS18" s="14">
        <v>24</v>
      </c>
      <c r="AT18" s="1">
        <v>31</v>
      </c>
      <c r="AU18" s="1">
        <v>1</v>
      </c>
      <c r="AV18" s="1">
        <v>180</v>
      </c>
      <c r="AW18" s="1">
        <v>100</v>
      </c>
      <c r="AY18" s="15" t="s">
        <v>55</v>
      </c>
      <c r="AZ18" s="14">
        <v>24</v>
      </c>
      <c r="BA18" s="1">
        <v>31</v>
      </c>
      <c r="BB18" s="1">
        <v>1</v>
      </c>
      <c r="BC18" s="1">
        <v>180</v>
      </c>
      <c r="BD18" s="1">
        <v>100</v>
      </c>
    </row>
    <row r="19" spans="2:56" ht="15.75" thickTop="1" thickBot="1">
      <c r="B19" s="15" t="s">
        <v>29</v>
      </c>
      <c r="C19" s="14">
        <v>18.600000000000001</v>
      </c>
      <c r="D19" s="1">
        <v>16</v>
      </c>
      <c r="E19" s="1">
        <v>1</v>
      </c>
      <c r="F19" s="1">
        <v>140</v>
      </c>
      <c r="G19" s="1">
        <v>100</v>
      </c>
      <c r="I19" s="15" t="s">
        <v>29</v>
      </c>
      <c r="J19" s="14">
        <v>18.600000000000001</v>
      </c>
      <c r="K19" s="1">
        <v>16</v>
      </c>
      <c r="L19" s="1">
        <v>1</v>
      </c>
      <c r="M19" s="1">
        <v>140</v>
      </c>
      <c r="N19" s="1">
        <v>100</v>
      </c>
      <c r="P19" s="15" t="s">
        <v>29</v>
      </c>
      <c r="Q19" s="14">
        <v>18.600000000000001</v>
      </c>
      <c r="R19" s="1">
        <v>16</v>
      </c>
      <c r="S19" s="1">
        <v>1</v>
      </c>
      <c r="T19" s="1">
        <v>140</v>
      </c>
      <c r="U19" s="1">
        <v>100</v>
      </c>
      <c r="W19" s="15" t="s">
        <v>29</v>
      </c>
      <c r="X19" s="14">
        <v>18.600000000000001</v>
      </c>
      <c r="Y19" s="1">
        <v>16</v>
      </c>
      <c r="Z19" s="1">
        <v>1</v>
      </c>
      <c r="AA19" s="1">
        <v>140</v>
      </c>
      <c r="AB19" s="1">
        <v>100</v>
      </c>
      <c r="AD19" s="15" t="s">
        <v>29</v>
      </c>
      <c r="AE19" s="14">
        <v>18.600000000000001</v>
      </c>
      <c r="AF19" s="1">
        <v>16</v>
      </c>
      <c r="AG19" s="1">
        <v>1</v>
      </c>
      <c r="AH19" s="1">
        <v>140</v>
      </c>
      <c r="AI19" s="1">
        <v>100</v>
      </c>
      <c r="AK19" s="15" t="s">
        <v>29</v>
      </c>
      <c r="AL19" s="14">
        <v>18.600000000000001</v>
      </c>
      <c r="AM19" s="1">
        <v>16</v>
      </c>
      <c r="AN19" s="1">
        <v>1</v>
      </c>
      <c r="AO19" s="1">
        <v>140</v>
      </c>
      <c r="AP19" s="1">
        <v>100</v>
      </c>
      <c r="AR19" s="15" t="s">
        <v>29</v>
      </c>
      <c r="AS19" s="14">
        <v>18.600000000000001</v>
      </c>
      <c r="AT19" s="1">
        <v>16</v>
      </c>
      <c r="AU19" s="1">
        <v>1</v>
      </c>
      <c r="AV19" s="1">
        <v>140</v>
      </c>
      <c r="AW19" s="1">
        <v>100</v>
      </c>
      <c r="AY19" s="15" t="s">
        <v>29</v>
      </c>
      <c r="AZ19" s="14">
        <v>18.600000000000001</v>
      </c>
      <c r="BA19" s="1">
        <v>16</v>
      </c>
      <c r="BB19" s="1">
        <v>1</v>
      </c>
      <c r="BC19" s="1">
        <v>140</v>
      </c>
      <c r="BD19" s="1">
        <v>100</v>
      </c>
    </row>
    <row r="20" spans="2:56" ht="15.75" thickTop="1" thickBot="1">
      <c r="B20" s="15" t="s">
        <v>23</v>
      </c>
      <c r="C20" s="14">
        <v>11</v>
      </c>
      <c r="D20" s="1">
        <v>11</v>
      </c>
      <c r="E20" s="1">
        <v>1</v>
      </c>
      <c r="F20" s="1">
        <v>140</v>
      </c>
      <c r="G20" s="1">
        <v>100</v>
      </c>
      <c r="I20" s="15" t="s">
        <v>23</v>
      </c>
      <c r="J20" s="14">
        <v>11</v>
      </c>
      <c r="K20" s="1">
        <v>11</v>
      </c>
      <c r="L20" s="1">
        <v>1</v>
      </c>
      <c r="M20" s="1">
        <v>140</v>
      </c>
      <c r="N20" s="1">
        <v>100</v>
      </c>
      <c r="P20" s="15" t="s">
        <v>23</v>
      </c>
      <c r="Q20" s="14">
        <v>11</v>
      </c>
      <c r="R20" s="1">
        <v>11</v>
      </c>
      <c r="S20" s="1">
        <v>1</v>
      </c>
      <c r="T20" s="1">
        <v>140</v>
      </c>
      <c r="U20" s="1">
        <v>100</v>
      </c>
      <c r="W20" s="15" t="s">
        <v>23</v>
      </c>
      <c r="X20" s="14">
        <v>11</v>
      </c>
      <c r="Y20" s="1">
        <v>11</v>
      </c>
      <c r="Z20" s="1">
        <v>1</v>
      </c>
      <c r="AA20" s="1">
        <v>140</v>
      </c>
      <c r="AB20" s="1">
        <v>100</v>
      </c>
      <c r="AD20" s="15" t="s">
        <v>23</v>
      </c>
      <c r="AE20" s="14">
        <v>11</v>
      </c>
      <c r="AF20" s="1">
        <v>11</v>
      </c>
      <c r="AG20" s="1">
        <v>1</v>
      </c>
      <c r="AH20" s="1">
        <v>140</v>
      </c>
      <c r="AI20" s="1">
        <v>100</v>
      </c>
      <c r="AK20" s="15" t="s">
        <v>23</v>
      </c>
      <c r="AL20" s="14">
        <v>11</v>
      </c>
      <c r="AM20" s="1">
        <v>11</v>
      </c>
      <c r="AN20" s="1">
        <v>1</v>
      </c>
      <c r="AO20" s="1">
        <v>140</v>
      </c>
      <c r="AP20" s="1">
        <v>100</v>
      </c>
      <c r="AR20" s="15" t="s">
        <v>23</v>
      </c>
      <c r="AS20" s="14">
        <v>11</v>
      </c>
      <c r="AT20" s="1">
        <v>11</v>
      </c>
      <c r="AU20" s="1">
        <v>1</v>
      </c>
      <c r="AV20" s="1">
        <v>140</v>
      </c>
      <c r="AW20" s="1">
        <v>100</v>
      </c>
      <c r="AY20" s="15" t="s">
        <v>23</v>
      </c>
      <c r="AZ20" s="14">
        <v>11</v>
      </c>
      <c r="BA20" s="1">
        <v>11</v>
      </c>
      <c r="BB20" s="1">
        <v>1</v>
      </c>
      <c r="BC20" s="1">
        <v>140</v>
      </c>
      <c r="BD20" s="1">
        <v>100</v>
      </c>
    </row>
    <row r="21" spans="2:56" ht="15.75" thickTop="1" thickBot="1">
      <c r="B21" s="15" t="s">
        <v>48</v>
      </c>
      <c r="C21" s="14">
        <v>24</v>
      </c>
      <c r="D21" s="1">
        <v>16</v>
      </c>
      <c r="E21" s="1">
        <v>1</v>
      </c>
      <c r="F21" s="1">
        <v>140</v>
      </c>
      <c r="G21" s="1">
        <v>100</v>
      </c>
      <c r="I21" s="15" t="s">
        <v>48</v>
      </c>
      <c r="J21" s="14">
        <v>24</v>
      </c>
      <c r="K21" s="1">
        <v>16</v>
      </c>
      <c r="L21" s="1">
        <v>1</v>
      </c>
      <c r="M21" s="1">
        <v>140</v>
      </c>
      <c r="N21" s="1">
        <v>100</v>
      </c>
      <c r="P21" s="15" t="s">
        <v>48</v>
      </c>
      <c r="Q21" s="14">
        <v>24</v>
      </c>
      <c r="R21" s="1">
        <v>16</v>
      </c>
      <c r="S21" s="1">
        <v>1</v>
      </c>
      <c r="T21" s="1">
        <v>140</v>
      </c>
      <c r="U21" s="1">
        <v>100</v>
      </c>
      <c r="W21" s="15" t="s">
        <v>48</v>
      </c>
      <c r="X21" s="14">
        <v>24</v>
      </c>
      <c r="Y21" s="1">
        <v>16</v>
      </c>
      <c r="Z21" s="1">
        <v>1</v>
      </c>
      <c r="AA21" s="1">
        <v>140</v>
      </c>
      <c r="AB21" s="1">
        <v>100</v>
      </c>
      <c r="AD21" s="15" t="s">
        <v>48</v>
      </c>
      <c r="AE21" s="14">
        <v>24</v>
      </c>
      <c r="AF21" s="1">
        <v>16</v>
      </c>
      <c r="AG21" s="1">
        <v>1</v>
      </c>
      <c r="AH21" s="1">
        <v>140</v>
      </c>
      <c r="AI21" s="1">
        <v>100</v>
      </c>
      <c r="AK21" s="15" t="s">
        <v>48</v>
      </c>
      <c r="AL21" s="14">
        <v>24</v>
      </c>
      <c r="AM21" s="1">
        <v>16</v>
      </c>
      <c r="AN21" s="1">
        <v>1</v>
      </c>
      <c r="AO21" s="1">
        <v>140</v>
      </c>
      <c r="AP21" s="1">
        <v>100</v>
      </c>
      <c r="AR21" s="15" t="s">
        <v>48</v>
      </c>
      <c r="AS21" s="14">
        <v>24</v>
      </c>
      <c r="AT21" s="1">
        <v>16</v>
      </c>
      <c r="AU21" s="1">
        <v>1</v>
      </c>
      <c r="AV21" s="1">
        <v>140</v>
      </c>
      <c r="AW21" s="1">
        <v>100</v>
      </c>
      <c r="AY21" s="15" t="s">
        <v>48</v>
      </c>
      <c r="AZ21" s="14">
        <v>24</v>
      </c>
      <c r="BA21" s="1">
        <v>16</v>
      </c>
      <c r="BB21" s="1">
        <v>1</v>
      </c>
      <c r="BC21" s="1">
        <v>140</v>
      </c>
      <c r="BD21" s="1">
        <v>100</v>
      </c>
    </row>
    <row r="22" spans="2:56" ht="15.75" thickTop="1" thickBot="1">
      <c r="B22" s="15" t="s">
        <v>49</v>
      </c>
      <c r="C22" s="14">
        <v>24</v>
      </c>
      <c r="D22" s="1">
        <v>16</v>
      </c>
      <c r="E22" s="1">
        <v>1</v>
      </c>
      <c r="F22" s="1">
        <v>140</v>
      </c>
      <c r="G22" s="1">
        <v>100</v>
      </c>
      <c r="I22" s="15" t="s">
        <v>49</v>
      </c>
      <c r="J22" s="14">
        <v>24</v>
      </c>
      <c r="K22" s="1">
        <v>16</v>
      </c>
      <c r="L22" s="1">
        <v>1</v>
      </c>
      <c r="M22" s="1">
        <v>140</v>
      </c>
      <c r="N22" s="1">
        <v>100</v>
      </c>
      <c r="P22" s="15" t="s">
        <v>49</v>
      </c>
      <c r="Q22" s="14">
        <v>24</v>
      </c>
      <c r="R22" s="1">
        <v>16</v>
      </c>
      <c r="S22" s="1">
        <v>1</v>
      </c>
      <c r="T22" s="1">
        <v>140</v>
      </c>
      <c r="U22" s="1">
        <v>100</v>
      </c>
      <c r="W22" s="15" t="s">
        <v>49</v>
      </c>
      <c r="X22" s="14">
        <v>24</v>
      </c>
      <c r="Y22" s="1">
        <v>16</v>
      </c>
      <c r="Z22" s="1">
        <v>1</v>
      </c>
      <c r="AA22" s="1">
        <v>140</v>
      </c>
      <c r="AB22" s="1">
        <v>100</v>
      </c>
      <c r="AD22" s="15" t="s">
        <v>49</v>
      </c>
      <c r="AE22" s="14">
        <v>24</v>
      </c>
      <c r="AF22" s="1">
        <v>16</v>
      </c>
      <c r="AG22" s="1">
        <v>1</v>
      </c>
      <c r="AH22" s="1">
        <v>140</v>
      </c>
      <c r="AI22" s="1">
        <v>100</v>
      </c>
      <c r="AK22" s="15" t="s">
        <v>49</v>
      </c>
      <c r="AL22" s="14">
        <v>24</v>
      </c>
      <c r="AM22" s="1">
        <v>16</v>
      </c>
      <c r="AN22" s="1">
        <v>1</v>
      </c>
      <c r="AO22" s="1">
        <v>140</v>
      </c>
      <c r="AP22" s="1">
        <v>100</v>
      </c>
      <c r="AR22" s="15" t="s">
        <v>49</v>
      </c>
      <c r="AS22" s="14">
        <v>24</v>
      </c>
      <c r="AT22" s="1">
        <v>16</v>
      </c>
      <c r="AU22" s="1">
        <v>1</v>
      </c>
      <c r="AV22" s="1">
        <v>140</v>
      </c>
      <c r="AW22" s="1">
        <v>100</v>
      </c>
      <c r="AY22" s="15" t="s">
        <v>49</v>
      </c>
      <c r="AZ22" s="14">
        <v>24</v>
      </c>
      <c r="BA22" s="1">
        <v>16</v>
      </c>
      <c r="BB22" s="1">
        <v>1</v>
      </c>
      <c r="BC22" s="1">
        <v>140</v>
      </c>
      <c r="BD22" s="1">
        <v>100</v>
      </c>
    </row>
    <row r="23" spans="2:56" ht="15.75" thickTop="1" thickBot="1">
      <c r="B23" s="15" t="s">
        <v>50</v>
      </c>
      <c r="C23" s="14">
        <v>11</v>
      </c>
      <c r="D23" s="1">
        <v>11</v>
      </c>
      <c r="E23" s="1">
        <v>1</v>
      </c>
      <c r="F23" s="1">
        <v>140</v>
      </c>
      <c r="G23" s="1">
        <v>100</v>
      </c>
      <c r="I23" s="15" t="s">
        <v>50</v>
      </c>
      <c r="J23" s="14">
        <v>11</v>
      </c>
      <c r="K23" s="1">
        <v>11</v>
      </c>
      <c r="L23" s="1">
        <v>1</v>
      </c>
      <c r="M23" s="1">
        <v>140</v>
      </c>
      <c r="N23" s="1">
        <v>100</v>
      </c>
      <c r="P23" s="15" t="s">
        <v>50</v>
      </c>
      <c r="Q23" s="14">
        <v>11</v>
      </c>
      <c r="R23" s="1">
        <v>11</v>
      </c>
      <c r="S23" s="1">
        <v>1</v>
      </c>
      <c r="T23" s="1">
        <v>140</v>
      </c>
      <c r="U23" s="1">
        <v>100</v>
      </c>
      <c r="W23" s="15" t="s">
        <v>50</v>
      </c>
      <c r="X23" s="14">
        <v>11</v>
      </c>
      <c r="Y23" s="1">
        <v>11</v>
      </c>
      <c r="Z23" s="1">
        <v>1</v>
      </c>
      <c r="AA23" s="1">
        <v>140</v>
      </c>
      <c r="AB23" s="1">
        <v>100</v>
      </c>
      <c r="AD23" s="15" t="s">
        <v>50</v>
      </c>
      <c r="AE23" s="14">
        <v>11</v>
      </c>
      <c r="AF23" s="1">
        <v>11</v>
      </c>
      <c r="AG23" s="1">
        <v>1</v>
      </c>
      <c r="AH23" s="1">
        <v>140</v>
      </c>
      <c r="AI23" s="1">
        <v>100</v>
      </c>
      <c r="AK23" s="15" t="s">
        <v>50</v>
      </c>
      <c r="AL23" s="14">
        <v>11</v>
      </c>
      <c r="AM23" s="1">
        <v>11</v>
      </c>
      <c r="AN23" s="1">
        <v>1</v>
      </c>
      <c r="AO23" s="1">
        <v>140</v>
      </c>
      <c r="AP23" s="1">
        <v>100</v>
      </c>
      <c r="AR23" s="15" t="s">
        <v>50</v>
      </c>
      <c r="AS23" s="14">
        <v>11</v>
      </c>
      <c r="AT23" s="1">
        <v>11</v>
      </c>
      <c r="AU23" s="1">
        <v>1</v>
      </c>
      <c r="AV23" s="1">
        <v>140</v>
      </c>
      <c r="AW23" s="1">
        <v>100</v>
      </c>
      <c r="AY23" s="15" t="s">
        <v>50</v>
      </c>
      <c r="AZ23" s="14">
        <v>11</v>
      </c>
      <c r="BA23" s="1">
        <v>11</v>
      </c>
      <c r="BB23" s="1">
        <v>1</v>
      </c>
      <c r="BC23" s="1">
        <v>140</v>
      </c>
      <c r="BD23" s="1">
        <v>100</v>
      </c>
    </row>
    <row r="24" spans="2:56" ht="15.75" thickTop="1" thickBot="1">
      <c r="B24" s="15" t="s">
        <v>42</v>
      </c>
      <c r="C24" s="14">
        <v>24</v>
      </c>
      <c r="D24" s="1">
        <v>16</v>
      </c>
      <c r="E24" s="1">
        <v>1</v>
      </c>
      <c r="F24" s="1">
        <v>140</v>
      </c>
      <c r="G24" s="1">
        <v>100</v>
      </c>
      <c r="I24" s="15" t="s">
        <v>42</v>
      </c>
      <c r="J24" s="14">
        <v>24</v>
      </c>
      <c r="K24" s="1">
        <v>16</v>
      </c>
      <c r="L24" s="1">
        <v>1</v>
      </c>
      <c r="M24" s="1">
        <v>140</v>
      </c>
      <c r="N24" s="1">
        <v>100</v>
      </c>
      <c r="P24" s="15" t="s">
        <v>42</v>
      </c>
      <c r="Q24" s="14">
        <v>24</v>
      </c>
      <c r="R24" s="1">
        <v>16</v>
      </c>
      <c r="S24" s="1">
        <v>1</v>
      </c>
      <c r="T24" s="1">
        <v>140</v>
      </c>
      <c r="U24" s="1">
        <v>100</v>
      </c>
      <c r="W24" s="15" t="s">
        <v>42</v>
      </c>
      <c r="X24" s="14">
        <v>24</v>
      </c>
      <c r="Y24" s="1">
        <v>16</v>
      </c>
      <c r="Z24" s="1">
        <v>1</v>
      </c>
      <c r="AA24" s="1">
        <v>140</v>
      </c>
      <c r="AB24" s="1">
        <v>100</v>
      </c>
      <c r="AD24" s="15" t="s">
        <v>42</v>
      </c>
      <c r="AE24" s="14">
        <v>24</v>
      </c>
      <c r="AF24" s="1">
        <v>16</v>
      </c>
      <c r="AG24" s="1">
        <v>1</v>
      </c>
      <c r="AH24" s="1">
        <v>140</v>
      </c>
      <c r="AI24" s="1">
        <v>100</v>
      </c>
      <c r="AK24" s="15" t="s">
        <v>42</v>
      </c>
      <c r="AL24" s="14">
        <v>24</v>
      </c>
      <c r="AM24" s="1">
        <v>16</v>
      </c>
      <c r="AN24" s="1">
        <v>1</v>
      </c>
      <c r="AO24" s="1">
        <v>140</v>
      </c>
      <c r="AP24" s="1">
        <v>100</v>
      </c>
      <c r="AR24" s="15" t="s">
        <v>42</v>
      </c>
      <c r="AS24" s="14">
        <v>24</v>
      </c>
      <c r="AT24" s="1">
        <v>16</v>
      </c>
      <c r="AU24" s="1">
        <v>1</v>
      </c>
      <c r="AV24" s="1">
        <v>140</v>
      </c>
      <c r="AW24" s="1">
        <v>100</v>
      </c>
      <c r="AY24" s="15" t="s">
        <v>42</v>
      </c>
      <c r="AZ24" s="14">
        <v>24</v>
      </c>
      <c r="BA24" s="1">
        <v>16</v>
      </c>
      <c r="BB24" s="1">
        <v>1</v>
      </c>
      <c r="BC24" s="1">
        <v>140</v>
      </c>
      <c r="BD24" s="1">
        <v>100</v>
      </c>
    </row>
    <row r="25" spans="2:56" ht="15.75" thickTop="1" thickBot="1">
      <c r="B25" s="15" t="s">
        <v>14</v>
      </c>
      <c r="C25" s="14">
        <v>4.2</v>
      </c>
      <c r="D25" s="1">
        <v>9.6</v>
      </c>
      <c r="E25" s="1">
        <v>1</v>
      </c>
      <c r="F25" s="1">
        <v>140</v>
      </c>
      <c r="G25" s="1">
        <v>100</v>
      </c>
      <c r="I25" s="15" t="s">
        <v>14</v>
      </c>
      <c r="J25" s="14">
        <v>4.2</v>
      </c>
      <c r="K25" s="1">
        <v>9.6</v>
      </c>
      <c r="L25" s="1">
        <v>1</v>
      </c>
      <c r="M25" s="1">
        <v>140</v>
      </c>
      <c r="N25" s="1">
        <v>100</v>
      </c>
      <c r="P25" s="15" t="s">
        <v>14</v>
      </c>
      <c r="Q25" s="14">
        <v>4.2</v>
      </c>
      <c r="R25" s="1">
        <v>9.6</v>
      </c>
      <c r="S25" s="1">
        <v>1</v>
      </c>
      <c r="T25" s="1">
        <v>140</v>
      </c>
      <c r="U25" s="1">
        <v>100</v>
      </c>
      <c r="W25" s="15" t="s">
        <v>14</v>
      </c>
      <c r="X25" s="14">
        <v>4.2</v>
      </c>
      <c r="Y25" s="1">
        <v>9.6</v>
      </c>
      <c r="Z25" s="1">
        <v>1</v>
      </c>
      <c r="AA25" s="1">
        <v>140</v>
      </c>
      <c r="AB25" s="1">
        <v>100</v>
      </c>
      <c r="AD25" s="15" t="s">
        <v>14</v>
      </c>
      <c r="AE25" s="14">
        <v>4.2</v>
      </c>
      <c r="AF25" s="1">
        <v>9.6</v>
      </c>
      <c r="AG25" s="1">
        <v>1</v>
      </c>
      <c r="AH25" s="1">
        <v>140</v>
      </c>
      <c r="AI25" s="1">
        <v>100</v>
      </c>
      <c r="AK25" s="15" t="s">
        <v>14</v>
      </c>
      <c r="AL25" s="14">
        <v>4.2</v>
      </c>
      <c r="AM25" s="1">
        <v>9.6</v>
      </c>
      <c r="AN25" s="1">
        <v>1</v>
      </c>
      <c r="AO25" s="1">
        <v>140</v>
      </c>
      <c r="AP25" s="1">
        <v>100</v>
      </c>
      <c r="AR25" s="15" t="s">
        <v>14</v>
      </c>
      <c r="AS25" s="14">
        <v>4.2</v>
      </c>
      <c r="AT25" s="1">
        <v>9.6</v>
      </c>
      <c r="AU25" s="1">
        <v>1</v>
      </c>
      <c r="AV25" s="1">
        <v>140</v>
      </c>
      <c r="AW25" s="1">
        <v>100</v>
      </c>
      <c r="AY25" s="15" t="s">
        <v>14</v>
      </c>
      <c r="AZ25" s="14">
        <v>4.2</v>
      </c>
      <c r="BA25" s="1">
        <v>9.6</v>
      </c>
      <c r="BB25" s="1">
        <v>1</v>
      </c>
      <c r="BC25" s="1">
        <v>140</v>
      </c>
      <c r="BD25" s="1">
        <v>100</v>
      </c>
    </row>
    <row r="26" spans="2:56" ht="15.75" thickTop="1" thickBot="1">
      <c r="B26" s="15" t="s">
        <v>25</v>
      </c>
      <c r="C26" s="14">
        <v>24</v>
      </c>
      <c r="D26" s="1">
        <v>16</v>
      </c>
      <c r="E26" s="1">
        <v>1</v>
      </c>
      <c r="F26" s="1">
        <v>140</v>
      </c>
      <c r="G26" s="1">
        <v>100</v>
      </c>
      <c r="I26" s="15" t="s">
        <v>25</v>
      </c>
      <c r="J26" s="14">
        <v>24</v>
      </c>
      <c r="K26" s="1">
        <v>16</v>
      </c>
      <c r="L26" s="1">
        <v>1</v>
      </c>
      <c r="M26" s="1">
        <v>140</v>
      </c>
      <c r="N26" s="1">
        <v>100</v>
      </c>
      <c r="P26" s="15" t="s">
        <v>25</v>
      </c>
      <c r="Q26" s="14">
        <v>24</v>
      </c>
      <c r="R26" s="1">
        <v>16</v>
      </c>
      <c r="S26" s="1">
        <v>1</v>
      </c>
      <c r="T26" s="1">
        <v>140</v>
      </c>
      <c r="U26" s="1">
        <v>100</v>
      </c>
      <c r="W26" s="15" t="s">
        <v>25</v>
      </c>
      <c r="X26" s="14">
        <v>24</v>
      </c>
      <c r="Y26" s="1">
        <v>16</v>
      </c>
      <c r="Z26" s="1">
        <v>1</v>
      </c>
      <c r="AA26" s="1">
        <v>140</v>
      </c>
      <c r="AB26" s="1">
        <v>100</v>
      </c>
      <c r="AD26" s="15" t="s">
        <v>25</v>
      </c>
      <c r="AE26" s="14">
        <v>24</v>
      </c>
      <c r="AF26" s="1">
        <v>16</v>
      </c>
      <c r="AG26" s="1">
        <v>1</v>
      </c>
      <c r="AH26" s="1">
        <v>140</v>
      </c>
      <c r="AI26" s="1">
        <v>100</v>
      </c>
      <c r="AK26" s="15" t="s">
        <v>25</v>
      </c>
      <c r="AL26" s="14">
        <v>24</v>
      </c>
      <c r="AM26" s="1">
        <v>16</v>
      </c>
      <c r="AN26" s="1">
        <v>1</v>
      </c>
      <c r="AO26" s="1">
        <v>140</v>
      </c>
      <c r="AP26" s="1">
        <v>100</v>
      </c>
      <c r="AR26" s="15" t="s">
        <v>25</v>
      </c>
      <c r="AS26" s="14">
        <v>24</v>
      </c>
      <c r="AT26" s="1">
        <v>16</v>
      </c>
      <c r="AU26" s="1">
        <v>1</v>
      </c>
      <c r="AV26" s="1">
        <v>140</v>
      </c>
      <c r="AW26" s="1">
        <v>100</v>
      </c>
      <c r="AY26" s="15" t="s">
        <v>25</v>
      </c>
      <c r="AZ26" s="14">
        <v>24</v>
      </c>
      <c r="BA26" s="1">
        <v>16</v>
      </c>
      <c r="BB26" s="1">
        <v>1</v>
      </c>
      <c r="BC26" s="1">
        <v>140</v>
      </c>
      <c r="BD26" s="1">
        <v>100</v>
      </c>
    </row>
    <row r="27" spans="2:56" ht="15.75" thickTop="1" thickBot="1">
      <c r="B27" s="15" t="s">
        <v>28</v>
      </c>
      <c r="C27" s="14">
        <v>11</v>
      </c>
      <c r="D27" s="1">
        <v>11</v>
      </c>
      <c r="E27" s="1">
        <v>1</v>
      </c>
      <c r="F27" s="1">
        <v>140</v>
      </c>
      <c r="G27" s="1">
        <v>100</v>
      </c>
      <c r="I27" s="15" t="s">
        <v>28</v>
      </c>
      <c r="J27" s="14">
        <v>11</v>
      </c>
      <c r="K27" s="1">
        <v>11</v>
      </c>
      <c r="L27" s="1">
        <v>1</v>
      </c>
      <c r="M27" s="1">
        <v>140</v>
      </c>
      <c r="N27" s="1">
        <v>100</v>
      </c>
      <c r="P27" s="15" t="s">
        <v>28</v>
      </c>
      <c r="Q27" s="14">
        <v>11</v>
      </c>
      <c r="R27" s="1">
        <v>11</v>
      </c>
      <c r="S27" s="1">
        <v>1</v>
      </c>
      <c r="T27" s="1">
        <v>140</v>
      </c>
      <c r="U27" s="1">
        <v>100</v>
      </c>
      <c r="W27" s="15" t="s">
        <v>28</v>
      </c>
      <c r="X27" s="14">
        <v>11</v>
      </c>
      <c r="Y27" s="1">
        <v>11</v>
      </c>
      <c r="Z27" s="1">
        <v>1</v>
      </c>
      <c r="AA27" s="1">
        <v>140</v>
      </c>
      <c r="AB27" s="1">
        <v>100</v>
      </c>
      <c r="AD27" s="15" t="s">
        <v>28</v>
      </c>
      <c r="AE27" s="14">
        <v>11</v>
      </c>
      <c r="AF27" s="1">
        <v>11</v>
      </c>
      <c r="AG27" s="1">
        <v>1</v>
      </c>
      <c r="AH27" s="1">
        <v>140</v>
      </c>
      <c r="AI27" s="1">
        <v>100</v>
      </c>
      <c r="AK27" s="15" t="s">
        <v>28</v>
      </c>
      <c r="AL27" s="14">
        <v>11</v>
      </c>
      <c r="AM27" s="1">
        <v>11</v>
      </c>
      <c r="AN27" s="1">
        <v>1</v>
      </c>
      <c r="AO27" s="1">
        <v>140</v>
      </c>
      <c r="AP27" s="1">
        <v>100</v>
      </c>
      <c r="AR27" s="15" t="s">
        <v>28</v>
      </c>
      <c r="AS27" s="14">
        <v>11</v>
      </c>
      <c r="AT27" s="1">
        <v>11</v>
      </c>
      <c r="AU27" s="1">
        <v>1</v>
      </c>
      <c r="AV27" s="1">
        <v>140</v>
      </c>
      <c r="AW27" s="1">
        <v>100</v>
      </c>
      <c r="AY27" s="15" t="s">
        <v>28</v>
      </c>
      <c r="AZ27" s="14">
        <v>11</v>
      </c>
      <c r="BA27" s="1">
        <v>11</v>
      </c>
      <c r="BB27" s="1">
        <v>1</v>
      </c>
      <c r="BC27" s="1">
        <v>140</v>
      </c>
      <c r="BD27" s="1">
        <v>100</v>
      </c>
    </row>
    <row r="28" spans="2:56" ht="15.75" thickTop="1" thickBot="1">
      <c r="B28" s="15" t="s">
        <v>44</v>
      </c>
      <c r="C28" s="14">
        <v>24</v>
      </c>
      <c r="D28" s="1">
        <v>16</v>
      </c>
      <c r="E28" s="1">
        <v>1</v>
      </c>
      <c r="F28" s="1">
        <v>140</v>
      </c>
      <c r="G28" s="1">
        <v>100</v>
      </c>
      <c r="I28" s="15" t="s">
        <v>44</v>
      </c>
      <c r="J28" s="14">
        <v>24</v>
      </c>
      <c r="K28" s="1">
        <v>16</v>
      </c>
      <c r="L28" s="1">
        <v>1</v>
      </c>
      <c r="M28" s="1">
        <v>140</v>
      </c>
      <c r="N28" s="1">
        <v>100</v>
      </c>
      <c r="P28" s="15" t="s">
        <v>44</v>
      </c>
      <c r="Q28" s="14">
        <v>24</v>
      </c>
      <c r="R28" s="1">
        <v>16</v>
      </c>
      <c r="S28" s="1">
        <v>1</v>
      </c>
      <c r="T28" s="1">
        <v>140</v>
      </c>
      <c r="U28" s="1">
        <v>100</v>
      </c>
      <c r="W28" s="15" t="s">
        <v>44</v>
      </c>
      <c r="X28" s="14">
        <v>24</v>
      </c>
      <c r="Y28" s="1">
        <v>16</v>
      </c>
      <c r="Z28" s="1">
        <v>1</v>
      </c>
      <c r="AA28" s="1">
        <v>140</v>
      </c>
      <c r="AB28" s="1">
        <v>100</v>
      </c>
      <c r="AD28" s="15" t="s">
        <v>44</v>
      </c>
      <c r="AE28" s="14">
        <v>24</v>
      </c>
      <c r="AF28" s="1">
        <v>16</v>
      </c>
      <c r="AG28" s="1">
        <v>1</v>
      </c>
      <c r="AH28" s="1">
        <v>140</v>
      </c>
      <c r="AI28" s="1">
        <v>100</v>
      </c>
      <c r="AK28" s="15" t="s">
        <v>44</v>
      </c>
      <c r="AL28" s="14">
        <v>24</v>
      </c>
      <c r="AM28" s="1">
        <v>16</v>
      </c>
      <c r="AN28" s="1">
        <v>1</v>
      </c>
      <c r="AO28" s="1">
        <v>140</v>
      </c>
      <c r="AP28" s="1">
        <v>100</v>
      </c>
      <c r="AR28" s="15" t="s">
        <v>44</v>
      </c>
      <c r="AS28" s="14">
        <v>24</v>
      </c>
      <c r="AT28" s="1">
        <v>16</v>
      </c>
      <c r="AU28" s="1">
        <v>1</v>
      </c>
      <c r="AV28" s="1">
        <v>140</v>
      </c>
      <c r="AW28" s="1">
        <v>100</v>
      </c>
      <c r="AY28" s="15" t="s">
        <v>44</v>
      </c>
      <c r="AZ28" s="14">
        <v>24</v>
      </c>
      <c r="BA28" s="1">
        <v>16</v>
      </c>
      <c r="BB28" s="1">
        <v>1</v>
      </c>
      <c r="BC28" s="1">
        <v>140</v>
      </c>
      <c r="BD28" s="1">
        <v>100</v>
      </c>
    </row>
    <row r="29" spans="2:56" ht="15.75" thickTop="1" thickBot="1">
      <c r="B29" s="15" t="s">
        <v>43</v>
      </c>
      <c r="C29" s="14">
        <v>24</v>
      </c>
      <c r="D29" s="1">
        <v>31</v>
      </c>
      <c r="E29" s="1">
        <v>1</v>
      </c>
      <c r="F29" s="1">
        <v>120</v>
      </c>
      <c r="G29" s="1">
        <v>100</v>
      </c>
      <c r="I29" s="15" t="s">
        <v>43</v>
      </c>
      <c r="J29" s="14">
        <v>24</v>
      </c>
      <c r="K29" s="1">
        <v>31</v>
      </c>
      <c r="L29" s="1">
        <v>1</v>
      </c>
      <c r="M29" s="1">
        <v>120</v>
      </c>
      <c r="N29" s="1">
        <v>100</v>
      </c>
      <c r="P29" s="15" t="s">
        <v>43</v>
      </c>
      <c r="Q29" s="14">
        <v>24</v>
      </c>
      <c r="R29" s="1">
        <v>31</v>
      </c>
      <c r="S29" s="1">
        <v>1</v>
      </c>
      <c r="T29" s="1">
        <v>120</v>
      </c>
      <c r="U29" s="1">
        <v>100</v>
      </c>
      <c r="W29" s="15" t="s">
        <v>43</v>
      </c>
      <c r="X29" s="14">
        <v>24</v>
      </c>
      <c r="Y29" s="1">
        <v>31</v>
      </c>
      <c r="Z29" s="1">
        <v>1</v>
      </c>
      <c r="AA29" s="1">
        <v>120</v>
      </c>
      <c r="AB29" s="1">
        <v>100</v>
      </c>
      <c r="AD29" s="15" t="s">
        <v>43</v>
      </c>
      <c r="AE29" s="14">
        <v>24</v>
      </c>
      <c r="AF29" s="1">
        <v>31</v>
      </c>
      <c r="AG29" s="1">
        <v>1</v>
      </c>
      <c r="AH29" s="1">
        <v>120</v>
      </c>
      <c r="AI29" s="1">
        <v>100</v>
      </c>
      <c r="AK29" s="15" t="s">
        <v>43</v>
      </c>
      <c r="AL29" s="14">
        <v>24</v>
      </c>
      <c r="AM29" s="1">
        <v>31</v>
      </c>
      <c r="AN29" s="1">
        <v>1</v>
      </c>
      <c r="AO29" s="1">
        <v>120</v>
      </c>
      <c r="AP29" s="1">
        <v>100</v>
      </c>
      <c r="AR29" s="15" t="s">
        <v>43</v>
      </c>
      <c r="AS29" s="14">
        <v>24</v>
      </c>
      <c r="AT29" s="1">
        <v>31</v>
      </c>
      <c r="AU29" s="1">
        <v>1</v>
      </c>
      <c r="AV29" s="1">
        <v>120</v>
      </c>
      <c r="AW29" s="1">
        <v>100</v>
      </c>
      <c r="AY29" s="15" t="s">
        <v>43</v>
      </c>
      <c r="AZ29" s="14">
        <v>24</v>
      </c>
      <c r="BA29" s="1">
        <v>31</v>
      </c>
      <c r="BB29" s="1">
        <v>1</v>
      </c>
      <c r="BC29" s="1">
        <v>120</v>
      </c>
      <c r="BD29" s="1">
        <v>100</v>
      </c>
    </row>
    <row r="30" spans="2:56" ht="15.75" thickTop="1" thickBot="1">
      <c r="B30" s="15" t="s">
        <v>17</v>
      </c>
      <c r="C30" s="14">
        <v>7</v>
      </c>
      <c r="D30" s="1">
        <v>8.5</v>
      </c>
      <c r="E30" s="1">
        <v>1</v>
      </c>
      <c r="F30" s="1">
        <v>140</v>
      </c>
      <c r="G30" s="1">
        <v>100</v>
      </c>
      <c r="I30" s="15" t="s">
        <v>17</v>
      </c>
      <c r="J30" s="14">
        <v>7</v>
      </c>
      <c r="K30" s="1">
        <v>8.5</v>
      </c>
      <c r="L30" s="1">
        <v>1</v>
      </c>
      <c r="M30" s="1">
        <v>140</v>
      </c>
      <c r="N30" s="1">
        <v>100</v>
      </c>
      <c r="P30" s="15" t="s">
        <v>17</v>
      </c>
      <c r="Q30" s="14">
        <v>7</v>
      </c>
      <c r="R30" s="1">
        <v>8.5</v>
      </c>
      <c r="S30" s="1">
        <v>1</v>
      </c>
      <c r="T30" s="1">
        <v>140</v>
      </c>
      <c r="U30" s="1">
        <v>100</v>
      </c>
      <c r="W30" s="15" t="s">
        <v>17</v>
      </c>
      <c r="X30" s="14">
        <v>7</v>
      </c>
      <c r="Y30" s="1">
        <v>8.5</v>
      </c>
      <c r="Z30" s="1">
        <v>1</v>
      </c>
      <c r="AA30" s="1">
        <v>140</v>
      </c>
      <c r="AB30" s="1">
        <v>100</v>
      </c>
      <c r="AD30" s="15" t="s">
        <v>17</v>
      </c>
      <c r="AE30" s="14">
        <v>7</v>
      </c>
      <c r="AF30" s="1">
        <v>8.5</v>
      </c>
      <c r="AG30" s="1">
        <v>1</v>
      </c>
      <c r="AH30" s="1">
        <v>140</v>
      </c>
      <c r="AI30" s="1">
        <v>100</v>
      </c>
      <c r="AK30" s="15" t="s">
        <v>17</v>
      </c>
      <c r="AL30" s="14">
        <v>7</v>
      </c>
      <c r="AM30" s="1">
        <v>8.5</v>
      </c>
      <c r="AN30" s="1">
        <v>1</v>
      </c>
      <c r="AO30" s="1">
        <v>140</v>
      </c>
      <c r="AP30" s="1">
        <v>100</v>
      </c>
      <c r="AR30" s="15" t="s">
        <v>17</v>
      </c>
      <c r="AS30" s="14">
        <v>7</v>
      </c>
      <c r="AT30" s="1">
        <v>8.5</v>
      </c>
      <c r="AU30" s="1">
        <v>1</v>
      </c>
      <c r="AV30" s="1">
        <v>140</v>
      </c>
      <c r="AW30" s="1">
        <v>100</v>
      </c>
      <c r="AY30" s="15" t="s">
        <v>17</v>
      </c>
      <c r="AZ30" s="14">
        <v>7</v>
      </c>
      <c r="BA30" s="1">
        <v>8.5</v>
      </c>
      <c r="BB30" s="1">
        <v>1</v>
      </c>
      <c r="BC30" s="1">
        <v>140</v>
      </c>
      <c r="BD30" s="1">
        <v>100</v>
      </c>
    </row>
    <row r="31" spans="2:56" ht="15.75" thickTop="1" thickBot="1">
      <c r="B31" s="15" t="s">
        <v>5</v>
      </c>
      <c r="C31" s="14">
        <v>18.600000000000001</v>
      </c>
      <c r="D31" s="1">
        <v>16</v>
      </c>
      <c r="E31" s="1">
        <v>1</v>
      </c>
      <c r="F31" s="1">
        <v>140</v>
      </c>
      <c r="G31" s="1">
        <v>100</v>
      </c>
      <c r="I31" s="15" t="s">
        <v>5</v>
      </c>
      <c r="J31" s="14">
        <v>18.600000000000001</v>
      </c>
      <c r="K31" s="1">
        <v>16</v>
      </c>
      <c r="L31" s="1">
        <v>1</v>
      </c>
      <c r="M31" s="1">
        <v>140</v>
      </c>
      <c r="N31" s="1">
        <v>100</v>
      </c>
      <c r="P31" s="15" t="s">
        <v>5</v>
      </c>
      <c r="Q31" s="14">
        <v>18.600000000000001</v>
      </c>
      <c r="R31" s="1">
        <v>16</v>
      </c>
      <c r="S31" s="1">
        <v>1</v>
      </c>
      <c r="T31" s="1">
        <v>140</v>
      </c>
      <c r="U31" s="1">
        <v>100</v>
      </c>
      <c r="W31" s="15" t="s">
        <v>5</v>
      </c>
      <c r="X31" s="14">
        <v>18.600000000000001</v>
      </c>
      <c r="Y31" s="1">
        <v>16</v>
      </c>
      <c r="Z31" s="1">
        <v>1</v>
      </c>
      <c r="AA31" s="1">
        <v>140</v>
      </c>
      <c r="AB31" s="1">
        <v>100</v>
      </c>
      <c r="AD31" s="15" t="s">
        <v>5</v>
      </c>
      <c r="AE31" s="14">
        <v>18.600000000000001</v>
      </c>
      <c r="AF31" s="1">
        <v>16</v>
      </c>
      <c r="AG31" s="1">
        <v>1</v>
      </c>
      <c r="AH31" s="1">
        <v>140</v>
      </c>
      <c r="AI31" s="1">
        <v>100</v>
      </c>
      <c r="AK31" s="15" t="s">
        <v>5</v>
      </c>
      <c r="AL31" s="14">
        <v>18.600000000000001</v>
      </c>
      <c r="AM31" s="1">
        <v>16</v>
      </c>
      <c r="AN31" s="1">
        <v>1</v>
      </c>
      <c r="AO31" s="1">
        <v>140</v>
      </c>
      <c r="AP31" s="1">
        <v>100</v>
      </c>
      <c r="AR31" s="15" t="s">
        <v>5</v>
      </c>
      <c r="AS31" s="14">
        <v>18.600000000000001</v>
      </c>
      <c r="AT31" s="1">
        <v>16</v>
      </c>
      <c r="AU31" s="1">
        <v>1</v>
      </c>
      <c r="AV31" s="1">
        <v>140</v>
      </c>
      <c r="AW31" s="1">
        <v>100</v>
      </c>
      <c r="AY31" s="15" t="s">
        <v>5</v>
      </c>
      <c r="AZ31" s="14">
        <v>18.600000000000001</v>
      </c>
      <c r="BA31" s="1">
        <v>16</v>
      </c>
      <c r="BB31" s="1">
        <v>1</v>
      </c>
      <c r="BC31" s="1">
        <v>140</v>
      </c>
      <c r="BD31" s="1">
        <v>100</v>
      </c>
    </row>
    <row r="32" spans="2:56" ht="15.75" thickTop="1" thickBot="1">
      <c r="B32" s="15" t="s">
        <v>34</v>
      </c>
      <c r="C32" s="14">
        <v>24</v>
      </c>
      <c r="D32" s="1">
        <v>31</v>
      </c>
      <c r="E32" s="1">
        <v>1</v>
      </c>
      <c r="F32" s="1">
        <v>180</v>
      </c>
      <c r="G32" s="1">
        <v>100</v>
      </c>
      <c r="I32" s="15" t="s">
        <v>34</v>
      </c>
      <c r="J32" s="14">
        <v>24</v>
      </c>
      <c r="K32" s="1">
        <v>31</v>
      </c>
      <c r="L32" s="1">
        <v>1</v>
      </c>
      <c r="M32" s="1">
        <v>180</v>
      </c>
      <c r="N32" s="1">
        <v>100</v>
      </c>
      <c r="P32" s="15" t="s">
        <v>34</v>
      </c>
      <c r="Q32" s="14">
        <v>24</v>
      </c>
      <c r="R32" s="1">
        <v>31</v>
      </c>
      <c r="S32" s="1">
        <v>1</v>
      </c>
      <c r="T32" s="1">
        <v>180</v>
      </c>
      <c r="U32" s="1">
        <v>100</v>
      </c>
      <c r="W32" s="15" t="s">
        <v>34</v>
      </c>
      <c r="X32" s="14">
        <v>24</v>
      </c>
      <c r="Y32" s="1">
        <v>31</v>
      </c>
      <c r="Z32" s="1">
        <v>1</v>
      </c>
      <c r="AA32" s="1">
        <v>180</v>
      </c>
      <c r="AB32" s="1">
        <v>100</v>
      </c>
      <c r="AD32" s="15" t="s">
        <v>34</v>
      </c>
      <c r="AE32" s="14">
        <v>24</v>
      </c>
      <c r="AF32" s="1">
        <v>31</v>
      </c>
      <c r="AG32" s="1">
        <v>1</v>
      </c>
      <c r="AH32" s="1">
        <v>180</v>
      </c>
      <c r="AI32" s="1">
        <v>100</v>
      </c>
      <c r="AK32" s="15" t="s">
        <v>34</v>
      </c>
      <c r="AL32" s="14">
        <v>24</v>
      </c>
      <c r="AM32" s="1">
        <v>31</v>
      </c>
      <c r="AN32" s="1">
        <v>1</v>
      </c>
      <c r="AO32" s="1">
        <v>180</v>
      </c>
      <c r="AP32" s="1">
        <v>100</v>
      </c>
      <c r="AR32" s="15" t="s">
        <v>34</v>
      </c>
      <c r="AS32" s="14">
        <v>24</v>
      </c>
      <c r="AT32" s="1">
        <v>31</v>
      </c>
      <c r="AU32" s="1">
        <v>1</v>
      </c>
      <c r="AV32" s="1">
        <v>180</v>
      </c>
      <c r="AW32" s="1">
        <v>100</v>
      </c>
      <c r="AY32" s="15" t="s">
        <v>34</v>
      </c>
      <c r="AZ32" s="14">
        <v>24</v>
      </c>
      <c r="BA32" s="1">
        <v>31</v>
      </c>
      <c r="BB32" s="1">
        <v>1</v>
      </c>
      <c r="BC32" s="1">
        <v>180</v>
      </c>
      <c r="BD32" s="1">
        <v>100</v>
      </c>
    </row>
    <row r="33" spans="2:56" ht="15.75" thickTop="1" thickBot="1">
      <c r="B33" s="15" t="s">
        <v>30</v>
      </c>
      <c r="C33" s="14">
        <v>18.600000000000001</v>
      </c>
      <c r="D33" s="1">
        <v>16</v>
      </c>
      <c r="E33" s="1">
        <v>1</v>
      </c>
      <c r="F33" s="1">
        <v>140</v>
      </c>
      <c r="G33" s="1">
        <v>100</v>
      </c>
      <c r="I33" s="15" t="s">
        <v>30</v>
      </c>
      <c r="J33" s="14">
        <v>18.600000000000001</v>
      </c>
      <c r="K33" s="1">
        <v>16</v>
      </c>
      <c r="L33" s="1">
        <v>1</v>
      </c>
      <c r="M33" s="1">
        <v>140</v>
      </c>
      <c r="N33" s="1">
        <v>100</v>
      </c>
      <c r="P33" s="15" t="s">
        <v>30</v>
      </c>
      <c r="Q33" s="14">
        <v>18.600000000000001</v>
      </c>
      <c r="R33" s="1">
        <v>16</v>
      </c>
      <c r="S33" s="1">
        <v>1</v>
      </c>
      <c r="T33" s="1">
        <v>140</v>
      </c>
      <c r="U33" s="1">
        <v>100</v>
      </c>
      <c r="W33" s="15" t="s">
        <v>30</v>
      </c>
      <c r="X33" s="14">
        <v>18.600000000000001</v>
      </c>
      <c r="Y33" s="1">
        <v>16</v>
      </c>
      <c r="Z33" s="1">
        <v>1</v>
      </c>
      <c r="AA33" s="1">
        <v>140</v>
      </c>
      <c r="AB33" s="1">
        <v>100</v>
      </c>
      <c r="AD33" s="15" t="s">
        <v>30</v>
      </c>
      <c r="AE33" s="14">
        <v>18.600000000000001</v>
      </c>
      <c r="AF33" s="1">
        <v>16</v>
      </c>
      <c r="AG33" s="1">
        <v>1</v>
      </c>
      <c r="AH33" s="1">
        <v>140</v>
      </c>
      <c r="AI33" s="1">
        <v>100</v>
      </c>
      <c r="AK33" s="15" t="s">
        <v>30</v>
      </c>
      <c r="AL33" s="14">
        <v>18.600000000000001</v>
      </c>
      <c r="AM33" s="1">
        <v>16</v>
      </c>
      <c r="AN33" s="1">
        <v>1</v>
      </c>
      <c r="AO33" s="1">
        <v>140</v>
      </c>
      <c r="AP33" s="1">
        <v>100</v>
      </c>
      <c r="AR33" s="15" t="s">
        <v>30</v>
      </c>
      <c r="AS33" s="14">
        <v>18.600000000000001</v>
      </c>
      <c r="AT33" s="1">
        <v>16</v>
      </c>
      <c r="AU33" s="1">
        <v>1</v>
      </c>
      <c r="AV33" s="1">
        <v>140</v>
      </c>
      <c r="AW33" s="1">
        <v>100</v>
      </c>
      <c r="AY33" s="15" t="s">
        <v>30</v>
      </c>
      <c r="AZ33" s="14">
        <v>18.600000000000001</v>
      </c>
      <c r="BA33" s="1">
        <v>16</v>
      </c>
      <c r="BB33" s="1">
        <v>1</v>
      </c>
      <c r="BC33" s="1">
        <v>140</v>
      </c>
      <c r="BD33" s="1">
        <v>100</v>
      </c>
    </row>
    <row r="34" spans="2:56" ht="15.75" thickTop="1" thickBot="1">
      <c r="B34" s="15" t="s">
        <v>32</v>
      </c>
      <c r="C34" s="14">
        <v>24</v>
      </c>
      <c r="D34" s="1">
        <v>31</v>
      </c>
      <c r="E34" s="1">
        <v>1</v>
      </c>
      <c r="F34" s="1">
        <v>120</v>
      </c>
      <c r="G34" s="1">
        <v>100</v>
      </c>
      <c r="I34" s="15" t="s">
        <v>32</v>
      </c>
      <c r="J34" s="14">
        <v>24</v>
      </c>
      <c r="K34" s="1">
        <v>31</v>
      </c>
      <c r="L34" s="1">
        <v>1</v>
      </c>
      <c r="M34" s="1">
        <v>120</v>
      </c>
      <c r="N34" s="1">
        <v>100</v>
      </c>
      <c r="P34" s="15" t="s">
        <v>32</v>
      </c>
      <c r="Q34" s="14">
        <v>24</v>
      </c>
      <c r="R34" s="1">
        <v>31</v>
      </c>
      <c r="S34" s="1">
        <v>1</v>
      </c>
      <c r="T34" s="1">
        <v>120</v>
      </c>
      <c r="U34" s="1">
        <v>100</v>
      </c>
      <c r="W34" s="15" t="s">
        <v>32</v>
      </c>
      <c r="X34" s="14">
        <v>24</v>
      </c>
      <c r="Y34" s="1">
        <v>31</v>
      </c>
      <c r="Z34" s="1">
        <v>1</v>
      </c>
      <c r="AA34" s="1">
        <v>120</v>
      </c>
      <c r="AB34" s="1">
        <v>100</v>
      </c>
      <c r="AD34" s="15" t="s">
        <v>32</v>
      </c>
      <c r="AE34" s="14">
        <v>24</v>
      </c>
      <c r="AF34" s="1">
        <v>31</v>
      </c>
      <c r="AG34" s="1">
        <v>1</v>
      </c>
      <c r="AH34" s="1">
        <v>120</v>
      </c>
      <c r="AI34" s="1">
        <v>100</v>
      </c>
      <c r="AK34" s="15" t="s">
        <v>32</v>
      </c>
      <c r="AL34" s="14">
        <v>24</v>
      </c>
      <c r="AM34" s="1">
        <v>31</v>
      </c>
      <c r="AN34" s="1">
        <v>1</v>
      </c>
      <c r="AO34" s="1">
        <v>120</v>
      </c>
      <c r="AP34" s="1">
        <v>100</v>
      </c>
      <c r="AR34" s="15" t="s">
        <v>32</v>
      </c>
      <c r="AS34" s="14">
        <v>24</v>
      </c>
      <c r="AT34" s="1">
        <v>31</v>
      </c>
      <c r="AU34" s="1">
        <v>1</v>
      </c>
      <c r="AV34" s="1">
        <v>120</v>
      </c>
      <c r="AW34" s="1">
        <v>100</v>
      </c>
      <c r="AY34" s="15" t="s">
        <v>32</v>
      </c>
      <c r="AZ34" s="14">
        <v>24</v>
      </c>
      <c r="BA34" s="1">
        <v>31</v>
      </c>
      <c r="BB34" s="1">
        <v>1</v>
      </c>
      <c r="BC34" s="1">
        <v>120</v>
      </c>
      <c r="BD34" s="1">
        <v>100</v>
      </c>
    </row>
    <row r="35" spans="2:56" ht="15.75" thickTop="1" thickBot="1">
      <c r="B35" s="15" t="s">
        <v>45</v>
      </c>
      <c r="C35" s="14">
        <v>24</v>
      </c>
      <c r="D35" s="1">
        <v>31</v>
      </c>
      <c r="E35" s="1">
        <v>1</v>
      </c>
      <c r="F35" s="1">
        <v>120</v>
      </c>
      <c r="G35" s="1">
        <v>100</v>
      </c>
      <c r="I35" s="15" t="s">
        <v>45</v>
      </c>
      <c r="J35" s="14">
        <v>24</v>
      </c>
      <c r="K35" s="1">
        <v>31</v>
      </c>
      <c r="L35" s="1">
        <v>1</v>
      </c>
      <c r="M35" s="1">
        <v>120</v>
      </c>
      <c r="N35" s="1">
        <v>100</v>
      </c>
      <c r="P35" s="15" t="s">
        <v>45</v>
      </c>
      <c r="Q35" s="14">
        <v>24</v>
      </c>
      <c r="R35" s="1">
        <v>31</v>
      </c>
      <c r="S35" s="1">
        <v>1</v>
      </c>
      <c r="T35" s="1">
        <v>120</v>
      </c>
      <c r="U35" s="1">
        <v>100</v>
      </c>
      <c r="W35" s="15" t="s">
        <v>45</v>
      </c>
      <c r="X35" s="14">
        <v>24</v>
      </c>
      <c r="Y35" s="1">
        <v>31</v>
      </c>
      <c r="Z35" s="1">
        <v>1</v>
      </c>
      <c r="AA35" s="1">
        <v>120</v>
      </c>
      <c r="AB35" s="1">
        <v>100</v>
      </c>
      <c r="AD35" s="15" t="s">
        <v>45</v>
      </c>
      <c r="AE35" s="14">
        <v>24</v>
      </c>
      <c r="AF35" s="1">
        <v>31</v>
      </c>
      <c r="AG35" s="1">
        <v>1</v>
      </c>
      <c r="AH35" s="1">
        <v>120</v>
      </c>
      <c r="AI35" s="1">
        <v>100</v>
      </c>
      <c r="AK35" s="15" t="s">
        <v>45</v>
      </c>
      <c r="AL35" s="14">
        <v>24</v>
      </c>
      <c r="AM35" s="1">
        <v>31</v>
      </c>
      <c r="AN35" s="1">
        <v>1</v>
      </c>
      <c r="AO35" s="1">
        <v>120</v>
      </c>
      <c r="AP35" s="1">
        <v>100</v>
      </c>
      <c r="AR35" s="15" t="s">
        <v>45</v>
      </c>
      <c r="AS35" s="14">
        <v>24</v>
      </c>
      <c r="AT35" s="1">
        <v>31</v>
      </c>
      <c r="AU35" s="1">
        <v>1</v>
      </c>
      <c r="AV35" s="1">
        <v>120</v>
      </c>
      <c r="AW35" s="1">
        <v>100</v>
      </c>
      <c r="AY35" s="15" t="s">
        <v>45</v>
      </c>
      <c r="AZ35" s="14">
        <v>24</v>
      </c>
      <c r="BA35" s="1">
        <v>31</v>
      </c>
      <c r="BB35" s="1">
        <v>1</v>
      </c>
      <c r="BC35" s="1">
        <v>120</v>
      </c>
      <c r="BD35" s="1">
        <v>100</v>
      </c>
    </row>
    <row r="36" spans="2:56" ht="15.75" thickTop="1" thickBot="1">
      <c r="B36" s="15" t="s">
        <v>38</v>
      </c>
      <c r="C36" s="14">
        <v>24</v>
      </c>
      <c r="D36" s="1">
        <v>16</v>
      </c>
      <c r="E36" s="1">
        <v>1</v>
      </c>
      <c r="F36" s="1">
        <v>140</v>
      </c>
      <c r="G36" s="1">
        <v>100</v>
      </c>
      <c r="I36" s="15" t="s">
        <v>38</v>
      </c>
      <c r="J36" s="14">
        <v>24</v>
      </c>
      <c r="K36" s="1">
        <v>16</v>
      </c>
      <c r="L36" s="1">
        <v>1</v>
      </c>
      <c r="M36" s="1">
        <v>140</v>
      </c>
      <c r="N36" s="1">
        <v>100</v>
      </c>
      <c r="P36" s="15" t="s">
        <v>38</v>
      </c>
      <c r="Q36" s="14">
        <v>24</v>
      </c>
      <c r="R36" s="1">
        <v>16</v>
      </c>
      <c r="S36" s="1">
        <v>1</v>
      </c>
      <c r="T36" s="1">
        <v>140</v>
      </c>
      <c r="U36" s="1">
        <v>100</v>
      </c>
      <c r="W36" s="15" t="s">
        <v>38</v>
      </c>
      <c r="X36" s="14">
        <v>24</v>
      </c>
      <c r="Y36" s="1">
        <v>16</v>
      </c>
      <c r="Z36" s="1">
        <v>1</v>
      </c>
      <c r="AA36" s="1">
        <v>140</v>
      </c>
      <c r="AB36" s="1">
        <v>100</v>
      </c>
      <c r="AD36" s="15" t="s">
        <v>38</v>
      </c>
      <c r="AE36" s="14">
        <v>24</v>
      </c>
      <c r="AF36" s="1">
        <v>16</v>
      </c>
      <c r="AG36" s="1">
        <v>1</v>
      </c>
      <c r="AH36" s="1">
        <v>140</v>
      </c>
      <c r="AI36" s="1">
        <v>100</v>
      </c>
      <c r="AK36" s="15" t="s">
        <v>38</v>
      </c>
      <c r="AL36" s="14">
        <v>24</v>
      </c>
      <c r="AM36" s="1">
        <v>16</v>
      </c>
      <c r="AN36" s="1">
        <v>1</v>
      </c>
      <c r="AO36" s="1">
        <v>140</v>
      </c>
      <c r="AP36" s="1">
        <v>100</v>
      </c>
      <c r="AR36" s="15" t="s">
        <v>38</v>
      </c>
      <c r="AS36" s="14">
        <v>24</v>
      </c>
      <c r="AT36" s="1">
        <v>16</v>
      </c>
      <c r="AU36" s="1">
        <v>1</v>
      </c>
      <c r="AV36" s="1">
        <v>140</v>
      </c>
      <c r="AW36" s="1">
        <v>100</v>
      </c>
      <c r="AY36" s="15" t="s">
        <v>38</v>
      </c>
      <c r="AZ36" s="14">
        <v>24</v>
      </c>
      <c r="BA36" s="1">
        <v>16</v>
      </c>
      <c r="BB36" s="1">
        <v>1</v>
      </c>
      <c r="BC36" s="1">
        <v>140</v>
      </c>
      <c r="BD36" s="1">
        <v>100</v>
      </c>
    </row>
    <row r="37" spans="2:56" ht="15.75" thickTop="1" thickBot="1">
      <c r="B37" s="15" t="s">
        <v>39</v>
      </c>
      <c r="C37" s="14">
        <v>7</v>
      </c>
      <c r="D37" s="1">
        <v>8.5</v>
      </c>
      <c r="E37" s="1">
        <v>1</v>
      </c>
      <c r="F37" s="1">
        <v>140</v>
      </c>
      <c r="G37" s="1">
        <v>100</v>
      </c>
      <c r="I37" s="15" t="s">
        <v>39</v>
      </c>
      <c r="J37" s="14">
        <v>7</v>
      </c>
      <c r="K37" s="1">
        <v>8.5</v>
      </c>
      <c r="L37" s="1">
        <v>1</v>
      </c>
      <c r="M37" s="1">
        <v>140</v>
      </c>
      <c r="N37" s="1">
        <v>100</v>
      </c>
      <c r="P37" s="15" t="s">
        <v>39</v>
      </c>
      <c r="Q37" s="14">
        <v>7</v>
      </c>
      <c r="R37" s="1">
        <v>8.5</v>
      </c>
      <c r="S37" s="1">
        <v>1</v>
      </c>
      <c r="T37" s="1">
        <v>140</v>
      </c>
      <c r="U37" s="1">
        <v>100</v>
      </c>
      <c r="W37" s="15" t="s">
        <v>39</v>
      </c>
      <c r="X37" s="14">
        <v>7</v>
      </c>
      <c r="Y37" s="1">
        <v>8.5</v>
      </c>
      <c r="Z37" s="1">
        <v>1</v>
      </c>
      <c r="AA37" s="1">
        <v>140</v>
      </c>
      <c r="AB37" s="1">
        <v>100</v>
      </c>
      <c r="AD37" s="15" t="s">
        <v>39</v>
      </c>
      <c r="AE37" s="14">
        <v>7</v>
      </c>
      <c r="AF37" s="1">
        <v>8.5</v>
      </c>
      <c r="AG37" s="1">
        <v>1</v>
      </c>
      <c r="AH37" s="1">
        <v>140</v>
      </c>
      <c r="AI37" s="1">
        <v>100</v>
      </c>
      <c r="AK37" s="15" t="s">
        <v>39</v>
      </c>
      <c r="AL37" s="14">
        <v>7</v>
      </c>
      <c r="AM37" s="1">
        <v>8.5</v>
      </c>
      <c r="AN37" s="1">
        <v>1</v>
      </c>
      <c r="AO37" s="1">
        <v>140</v>
      </c>
      <c r="AP37" s="1">
        <v>100</v>
      </c>
      <c r="AR37" s="15" t="s">
        <v>39</v>
      </c>
      <c r="AS37" s="14">
        <v>7</v>
      </c>
      <c r="AT37" s="1">
        <v>8.5</v>
      </c>
      <c r="AU37" s="1">
        <v>1</v>
      </c>
      <c r="AV37" s="1">
        <v>140</v>
      </c>
      <c r="AW37" s="1">
        <v>100</v>
      </c>
      <c r="AY37" s="15" t="s">
        <v>39</v>
      </c>
      <c r="AZ37" s="14">
        <v>7</v>
      </c>
      <c r="BA37" s="1">
        <v>8.5</v>
      </c>
      <c r="BB37" s="1">
        <v>1</v>
      </c>
      <c r="BC37" s="1">
        <v>140</v>
      </c>
      <c r="BD37" s="1">
        <v>100</v>
      </c>
    </row>
    <row r="38" spans="2:56" ht="15.75" thickTop="1" thickBot="1">
      <c r="B38" s="15" t="s">
        <v>51</v>
      </c>
      <c r="C38" s="14">
        <v>24</v>
      </c>
      <c r="D38" s="1">
        <v>31</v>
      </c>
      <c r="E38" s="1">
        <v>1</v>
      </c>
      <c r="F38" s="1">
        <v>180</v>
      </c>
      <c r="G38" s="1">
        <v>100</v>
      </c>
      <c r="I38" s="15" t="s">
        <v>51</v>
      </c>
      <c r="J38" s="14">
        <v>24</v>
      </c>
      <c r="K38" s="1">
        <v>31</v>
      </c>
      <c r="L38" s="1">
        <v>1</v>
      </c>
      <c r="M38" s="1">
        <v>180</v>
      </c>
      <c r="N38" s="1">
        <v>100</v>
      </c>
      <c r="P38" s="15" t="s">
        <v>51</v>
      </c>
      <c r="Q38" s="14">
        <v>24</v>
      </c>
      <c r="R38" s="1">
        <v>31</v>
      </c>
      <c r="S38" s="1">
        <v>1</v>
      </c>
      <c r="T38" s="1">
        <v>180</v>
      </c>
      <c r="U38" s="1">
        <v>100</v>
      </c>
      <c r="W38" s="15" t="s">
        <v>51</v>
      </c>
      <c r="X38" s="14">
        <v>24</v>
      </c>
      <c r="Y38" s="1">
        <v>31</v>
      </c>
      <c r="Z38" s="1">
        <v>1</v>
      </c>
      <c r="AA38" s="1">
        <v>180</v>
      </c>
      <c r="AB38" s="1">
        <v>100</v>
      </c>
      <c r="AD38" s="15" t="s">
        <v>51</v>
      </c>
      <c r="AE38" s="14">
        <v>24</v>
      </c>
      <c r="AF38" s="1">
        <v>31</v>
      </c>
      <c r="AG38" s="1">
        <v>1</v>
      </c>
      <c r="AH38" s="1">
        <v>180</v>
      </c>
      <c r="AI38" s="1">
        <v>100</v>
      </c>
      <c r="AK38" s="15" t="s">
        <v>51</v>
      </c>
      <c r="AL38" s="14">
        <v>24</v>
      </c>
      <c r="AM38" s="1">
        <v>31</v>
      </c>
      <c r="AN38" s="1">
        <v>1</v>
      </c>
      <c r="AO38" s="1">
        <v>180</v>
      </c>
      <c r="AP38" s="1">
        <v>100</v>
      </c>
      <c r="AR38" s="15" t="s">
        <v>51</v>
      </c>
      <c r="AS38" s="14">
        <v>24</v>
      </c>
      <c r="AT38" s="1">
        <v>31</v>
      </c>
      <c r="AU38" s="1">
        <v>1</v>
      </c>
      <c r="AV38" s="1">
        <v>180</v>
      </c>
      <c r="AW38" s="1">
        <v>100</v>
      </c>
      <c r="AY38" s="15" t="s">
        <v>51</v>
      </c>
      <c r="AZ38" s="14">
        <v>24</v>
      </c>
      <c r="BA38" s="1">
        <v>31</v>
      </c>
      <c r="BB38" s="1">
        <v>1</v>
      </c>
      <c r="BC38" s="1">
        <v>180</v>
      </c>
      <c r="BD38" s="1">
        <v>100</v>
      </c>
    </row>
    <row r="39" spans="2:56" ht="15" thickTop="1">
      <c r="B39" s="44"/>
      <c r="C39" s="44"/>
      <c r="D39" s="44"/>
      <c r="E39" s="44"/>
      <c r="F39" s="44"/>
      <c r="G39" s="44"/>
      <c r="I39" s="44"/>
      <c r="J39" s="44"/>
      <c r="K39" s="44"/>
      <c r="L39" s="44"/>
      <c r="M39" s="44"/>
      <c r="N39" s="44"/>
      <c r="P39" s="44"/>
      <c r="Q39" s="44"/>
      <c r="R39" s="44"/>
      <c r="S39" s="44"/>
      <c r="T39" s="44"/>
      <c r="U39" s="44"/>
      <c r="W39" s="44"/>
      <c r="X39" s="44"/>
      <c r="Y39" s="44"/>
      <c r="Z39" s="44"/>
      <c r="AA39" s="44"/>
      <c r="AB39" s="44"/>
      <c r="AD39" s="44"/>
      <c r="AE39" s="44"/>
      <c r="AF39" s="44"/>
      <c r="AG39" s="44"/>
      <c r="AH39" s="44"/>
      <c r="AI39" s="44"/>
      <c r="AK39" s="44"/>
      <c r="AL39" s="44"/>
      <c r="AM39" s="44"/>
      <c r="AN39" s="44"/>
      <c r="AO39" s="44"/>
      <c r="AP39" s="44"/>
      <c r="AR39" s="44"/>
      <c r="AS39" s="44"/>
      <c r="AT39" s="44"/>
      <c r="AU39" s="44"/>
      <c r="AV39" s="44"/>
      <c r="AW39" s="44"/>
      <c r="AY39" s="44"/>
      <c r="AZ39" s="44"/>
      <c r="BA39" s="44"/>
      <c r="BB39" s="44"/>
      <c r="BC39" s="44"/>
      <c r="BD39" s="44"/>
    </row>
    <row r="40" spans="2:56">
      <c r="B40" s="44"/>
      <c r="C40" s="44"/>
      <c r="D40" s="44"/>
      <c r="E40" s="44"/>
      <c r="F40" s="44"/>
      <c r="G40" s="44"/>
      <c r="I40" s="44"/>
      <c r="J40" s="44"/>
      <c r="K40" s="44"/>
      <c r="L40" s="44"/>
      <c r="M40" s="44"/>
      <c r="N40" s="44"/>
      <c r="P40" s="44"/>
      <c r="Q40" s="44"/>
      <c r="R40" s="44"/>
      <c r="S40" s="44"/>
      <c r="T40" s="44"/>
      <c r="U40" s="44"/>
      <c r="W40" s="44"/>
      <c r="X40" s="44"/>
      <c r="Y40" s="44"/>
      <c r="Z40" s="44"/>
      <c r="AA40" s="44"/>
      <c r="AB40" s="44"/>
      <c r="AD40" s="44"/>
      <c r="AE40" s="44"/>
      <c r="AF40" s="44"/>
      <c r="AG40" s="44"/>
      <c r="AH40" s="44"/>
      <c r="AI40" s="44"/>
      <c r="AK40" s="44"/>
      <c r="AL40" s="44"/>
      <c r="AM40" s="44"/>
      <c r="AN40" s="44"/>
      <c r="AO40" s="44"/>
      <c r="AP40" s="44"/>
      <c r="AR40" s="44"/>
      <c r="AS40" s="44"/>
      <c r="AT40" s="44"/>
      <c r="AU40" s="44"/>
      <c r="AV40" s="44"/>
      <c r="AW40" s="44"/>
      <c r="AY40" s="44"/>
      <c r="AZ40" s="44"/>
      <c r="BA40" s="44"/>
      <c r="BB40" s="44"/>
      <c r="BC40" s="44"/>
      <c r="BD40" s="44"/>
    </row>
    <row r="42" spans="2:56" ht="15">
      <c r="B42" s="90" t="s">
        <v>58</v>
      </c>
      <c r="C42" s="91"/>
    </row>
    <row r="43" spans="2:56" ht="15">
      <c r="B43" s="25" t="s">
        <v>59</v>
      </c>
      <c r="C43" s="25" t="s">
        <v>60</v>
      </c>
    </row>
    <row r="44" spans="2:56">
      <c r="B44" s="26">
        <v>8.4799999999999997E-3</v>
      </c>
      <c r="C44" s="26">
        <v>1.9777400000000001</v>
      </c>
    </row>
  </sheetData>
  <mergeCells count="25">
    <mergeCell ref="AV2:AW2"/>
    <mergeCell ref="AZ2:BB2"/>
    <mergeCell ref="BC2:BD2"/>
    <mergeCell ref="C1:G1"/>
    <mergeCell ref="J1:N1"/>
    <mergeCell ref="Q1:U1"/>
    <mergeCell ref="X1:AB1"/>
    <mergeCell ref="AE1:AI1"/>
    <mergeCell ref="AL1:AP1"/>
    <mergeCell ref="AS1:AW1"/>
    <mergeCell ref="AZ1:BD1"/>
    <mergeCell ref="AE2:AG2"/>
    <mergeCell ref="AH2:AI2"/>
    <mergeCell ref="AL2:AN2"/>
    <mergeCell ref="AO2:AP2"/>
    <mergeCell ref="AS2:AU2"/>
    <mergeCell ref="B42:C42"/>
    <mergeCell ref="Q2:S2"/>
    <mergeCell ref="T2:U2"/>
    <mergeCell ref="X2:Z2"/>
    <mergeCell ref="AA2:AB2"/>
    <mergeCell ref="C2:E2"/>
    <mergeCell ref="F2:G2"/>
    <mergeCell ref="J2:L2"/>
    <mergeCell ref="M2:N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269"/>
  <sheetViews>
    <sheetView tabSelected="1" topLeftCell="A244" zoomScaleNormal="100" zoomScaleSheetLayoutView="98" workbookViewId="0">
      <selection activeCell="A269" sqref="A269:D269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2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19" bestFit="1" customWidth="1"/>
    <col min="10" max="10" width="12.125" style="1" bestFit="1" customWidth="1"/>
    <col min="11" max="11" width="16.625" style="53" bestFit="1" customWidth="1"/>
    <col min="12" max="26" width="11.5" style="24"/>
  </cols>
  <sheetData>
    <row r="1" spans="1:11" ht="15">
      <c r="A1" s="13" t="s">
        <v>40</v>
      </c>
      <c r="B1" s="13" t="s">
        <v>18</v>
      </c>
      <c r="C1" s="23" t="s">
        <v>41</v>
      </c>
      <c r="D1" s="13" t="s">
        <v>19</v>
      </c>
      <c r="E1" s="13" t="s">
        <v>36</v>
      </c>
      <c r="F1" s="13" t="s">
        <v>20</v>
      </c>
      <c r="G1" s="13" t="s">
        <v>11</v>
      </c>
      <c r="H1" s="13" t="s">
        <v>21</v>
      </c>
      <c r="I1" s="13" t="s">
        <v>22</v>
      </c>
      <c r="J1" s="13" t="s">
        <v>16</v>
      </c>
      <c r="K1" s="13" t="s">
        <v>56</v>
      </c>
    </row>
    <row r="2" spans="1:11">
      <c r="A2" s="54">
        <v>45621</v>
      </c>
      <c r="B2" s="55" t="s">
        <v>17</v>
      </c>
      <c r="C2" s="56">
        <v>63</v>
      </c>
      <c r="D2" s="55" t="s">
        <v>3</v>
      </c>
      <c r="E2" s="55" t="s">
        <v>0</v>
      </c>
      <c r="F2" s="55">
        <v>57</v>
      </c>
      <c r="G2" s="55">
        <v>4.5</v>
      </c>
      <c r="H2" s="55">
        <v>1</v>
      </c>
      <c r="I2" s="57">
        <v>0</v>
      </c>
      <c r="J2" s="55">
        <v>0.09</v>
      </c>
      <c r="K2" s="58"/>
    </row>
    <row r="3" spans="1:11">
      <c r="A3" s="54">
        <v>45621</v>
      </c>
      <c r="B3" s="55" t="s">
        <v>17</v>
      </c>
      <c r="C3" s="56">
        <v>63</v>
      </c>
      <c r="D3" s="55" t="s">
        <v>3</v>
      </c>
      <c r="E3" s="55" t="s">
        <v>1</v>
      </c>
      <c r="F3" s="55">
        <v>54</v>
      </c>
      <c r="G3" s="55">
        <v>4.5</v>
      </c>
      <c r="H3" s="55">
        <v>1</v>
      </c>
      <c r="I3" s="57">
        <v>0</v>
      </c>
      <c r="J3" s="55">
        <v>0.08</v>
      </c>
      <c r="K3" s="58" t="s">
        <v>75</v>
      </c>
    </row>
    <row r="4" spans="1:11">
      <c r="A4" s="59">
        <v>45622</v>
      </c>
      <c r="B4" s="49" t="s">
        <v>17</v>
      </c>
      <c r="C4" s="50">
        <v>63</v>
      </c>
      <c r="D4" s="49" t="s">
        <v>3</v>
      </c>
      <c r="E4" s="49" t="s">
        <v>0</v>
      </c>
      <c r="F4" s="49">
        <v>57</v>
      </c>
      <c r="G4" s="49">
        <v>4.5</v>
      </c>
      <c r="H4" s="49">
        <v>1</v>
      </c>
      <c r="I4" s="51">
        <v>0</v>
      </c>
      <c r="J4" s="49">
        <v>0.09</v>
      </c>
      <c r="K4" s="52"/>
    </row>
    <row r="5" spans="1:11">
      <c r="A5" s="59">
        <v>45622</v>
      </c>
      <c r="B5" s="49" t="s">
        <v>17</v>
      </c>
      <c r="C5" s="50">
        <v>63</v>
      </c>
      <c r="D5" s="49" t="s">
        <v>3</v>
      </c>
      <c r="E5" s="49" t="s">
        <v>1</v>
      </c>
      <c r="F5" s="49">
        <v>54</v>
      </c>
      <c r="G5" s="49">
        <v>4.5</v>
      </c>
      <c r="H5" s="49">
        <v>1</v>
      </c>
      <c r="I5" s="51">
        <v>0</v>
      </c>
      <c r="J5" s="49">
        <v>0.08</v>
      </c>
      <c r="K5" s="52" t="s">
        <v>75</v>
      </c>
    </row>
    <row r="6" spans="1:11">
      <c r="A6" s="54">
        <v>45622</v>
      </c>
      <c r="B6" s="55" t="s">
        <v>51</v>
      </c>
      <c r="C6" s="56">
        <v>56</v>
      </c>
      <c r="D6" s="55" t="s">
        <v>3</v>
      </c>
      <c r="E6" s="55" t="s">
        <v>0</v>
      </c>
      <c r="F6" s="55">
        <v>106</v>
      </c>
      <c r="G6" s="55">
        <v>2.5</v>
      </c>
      <c r="H6" s="55">
        <v>1</v>
      </c>
      <c r="I6" s="57">
        <v>0</v>
      </c>
      <c r="J6" s="55">
        <v>0.12</v>
      </c>
      <c r="K6" s="58"/>
    </row>
    <row r="7" spans="1:11">
      <c r="A7" s="54">
        <v>45622</v>
      </c>
      <c r="B7" s="55" t="s">
        <v>51</v>
      </c>
      <c r="C7" s="56">
        <v>56</v>
      </c>
      <c r="D7" s="55" t="s">
        <v>3</v>
      </c>
      <c r="E7" s="55" t="s">
        <v>1</v>
      </c>
      <c r="F7" s="55">
        <v>125</v>
      </c>
      <c r="G7" s="55">
        <v>3.6</v>
      </c>
      <c r="H7" s="55">
        <v>1</v>
      </c>
      <c r="I7" s="57">
        <v>0</v>
      </c>
      <c r="J7" s="55">
        <v>0.27</v>
      </c>
      <c r="K7" s="58" t="s">
        <v>76</v>
      </c>
    </row>
    <row r="8" spans="1:11">
      <c r="A8" s="59">
        <v>45622</v>
      </c>
      <c r="B8" s="49" t="s">
        <v>51</v>
      </c>
      <c r="C8" s="50">
        <v>67</v>
      </c>
      <c r="D8" s="49" t="s">
        <v>3</v>
      </c>
      <c r="E8" s="49" t="s">
        <v>0</v>
      </c>
      <c r="F8" s="49">
        <v>125</v>
      </c>
      <c r="G8" s="49">
        <v>3.2</v>
      </c>
      <c r="H8" s="49">
        <v>1</v>
      </c>
      <c r="I8" s="51">
        <v>0</v>
      </c>
      <c r="J8" s="49">
        <v>0.22</v>
      </c>
      <c r="K8" s="52"/>
    </row>
    <row r="9" spans="1:11">
      <c r="A9" s="59">
        <v>45622</v>
      </c>
      <c r="B9" s="49" t="s">
        <v>51</v>
      </c>
      <c r="C9" s="50">
        <v>67</v>
      </c>
      <c r="D9" s="49" t="s">
        <v>3</v>
      </c>
      <c r="E9" s="49" t="s">
        <v>1</v>
      </c>
      <c r="F9" s="49">
        <v>139</v>
      </c>
      <c r="G9" s="49">
        <v>4</v>
      </c>
      <c r="H9" s="49">
        <v>1</v>
      </c>
      <c r="I9" s="51">
        <v>0</v>
      </c>
      <c r="J9" s="49">
        <v>0.37</v>
      </c>
      <c r="K9" s="52" t="s">
        <v>77</v>
      </c>
    </row>
    <row r="10" spans="1:11">
      <c r="A10" s="54">
        <v>45622</v>
      </c>
      <c r="B10" s="55" t="s">
        <v>51</v>
      </c>
      <c r="C10" s="56">
        <v>45</v>
      </c>
      <c r="D10" s="55" t="s">
        <v>3</v>
      </c>
      <c r="E10" s="55" t="s">
        <v>0</v>
      </c>
      <c r="F10" s="55">
        <v>100</v>
      </c>
      <c r="G10" s="55">
        <v>2.5</v>
      </c>
      <c r="H10" s="55">
        <v>1</v>
      </c>
      <c r="I10" s="57">
        <v>0</v>
      </c>
      <c r="J10" s="55">
        <v>0.11</v>
      </c>
      <c r="K10" s="58"/>
    </row>
    <row r="11" spans="1:11">
      <c r="A11" s="54">
        <v>45622</v>
      </c>
      <c r="B11" s="55" t="s">
        <v>51</v>
      </c>
      <c r="C11" s="56">
        <v>45</v>
      </c>
      <c r="D11" s="55" t="s">
        <v>3</v>
      </c>
      <c r="E11" s="55" t="s">
        <v>1</v>
      </c>
      <c r="F11" s="55">
        <v>111</v>
      </c>
      <c r="G11" s="55">
        <v>3.6</v>
      </c>
      <c r="H11" s="55">
        <v>1</v>
      </c>
      <c r="I11" s="57">
        <v>0</v>
      </c>
      <c r="J11" s="55">
        <v>0.21</v>
      </c>
      <c r="K11" s="58" t="s">
        <v>78</v>
      </c>
    </row>
    <row r="12" spans="1:11">
      <c r="A12" s="54">
        <v>45622</v>
      </c>
      <c r="B12" s="55" t="s">
        <v>31</v>
      </c>
      <c r="C12" s="56">
        <v>75</v>
      </c>
      <c r="D12" s="55" t="s">
        <v>3</v>
      </c>
      <c r="E12" s="55" t="s">
        <v>0</v>
      </c>
      <c r="F12" s="55">
        <v>85</v>
      </c>
      <c r="G12" s="55">
        <v>45</v>
      </c>
      <c r="H12" s="55">
        <v>1</v>
      </c>
      <c r="I12" s="57">
        <v>0</v>
      </c>
      <c r="J12" s="55">
        <v>1.44</v>
      </c>
      <c r="K12" s="58"/>
    </row>
    <row r="13" spans="1:11">
      <c r="A13" s="54">
        <v>45622</v>
      </c>
      <c r="B13" s="55" t="s">
        <v>31</v>
      </c>
      <c r="C13" s="56">
        <v>75</v>
      </c>
      <c r="D13" s="55" t="s">
        <v>3</v>
      </c>
      <c r="E13" s="55" t="s">
        <v>1</v>
      </c>
      <c r="F13" s="55">
        <v>85</v>
      </c>
      <c r="G13" s="55">
        <v>50</v>
      </c>
      <c r="H13" s="55">
        <v>2</v>
      </c>
      <c r="I13" s="57">
        <v>0</v>
      </c>
      <c r="J13" s="55">
        <v>3.5</v>
      </c>
      <c r="K13" s="58" t="s">
        <v>79</v>
      </c>
    </row>
    <row r="14" spans="1:11">
      <c r="A14" s="59">
        <v>45622</v>
      </c>
      <c r="B14" s="49" t="s">
        <v>28</v>
      </c>
      <c r="C14" s="50">
        <v>70</v>
      </c>
      <c r="D14" s="49" t="s">
        <v>3</v>
      </c>
      <c r="E14" s="49" t="s">
        <v>0</v>
      </c>
      <c r="F14" s="49">
        <v>55</v>
      </c>
      <c r="G14" s="49">
        <v>3</v>
      </c>
      <c r="H14" s="49">
        <v>1</v>
      </c>
      <c r="I14" s="51">
        <v>0</v>
      </c>
      <c r="J14" s="49">
        <v>0.06</v>
      </c>
      <c r="K14" s="52"/>
    </row>
    <row r="15" spans="1:11">
      <c r="A15" s="59">
        <v>45622</v>
      </c>
      <c r="B15" s="49" t="s">
        <v>28</v>
      </c>
      <c r="C15" s="50">
        <v>70</v>
      </c>
      <c r="D15" s="49" t="s">
        <v>3</v>
      </c>
      <c r="E15" s="49" t="s">
        <v>1</v>
      </c>
      <c r="F15" s="49">
        <v>55</v>
      </c>
      <c r="G15" s="49">
        <v>2.5</v>
      </c>
      <c r="H15" s="49">
        <v>1</v>
      </c>
      <c r="I15" s="51">
        <v>0</v>
      </c>
      <c r="J15" s="49">
        <v>0.05</v>
      </c>
      <c r="K15" s="52" t="s">
        <v>80</v>
      </c>
    </row>
    <row r="16" spans="1:11">
      <c r="A16" s="54">
        <v>45622</v>
      </c>
      <c r="B16" s="55" t="s">
        <v>47</v>
      </c>
      <c r="C16" s="56">
        <v>72</v>
      </c>
      <c r="D16" s="55" t="s">
        <v>3</v>
      </c>
      <c r="E16" s="55" t="s">
        <v>0</v>
      </c>
      <c r="F16" s="55">
        <v>75</v>
      </c>
      <c r="G16" s="55">
        <v>23</v>
      </c>
      <c r="H16" s="55">
        <v>1</v>
      </c>
      <c r="I16" s="57">
        <v>0</v>
      </c>
      <c r="J16" s="55">
        <v>1.04</v>
      </c>
      <c r="K16" s="58" t="s">
        <v>81</v>
      </c>
    </row>
    <row r="17" spans="1:11">
      <c r="A17" s="54">
        <v>45622</v>
      </c>
      <c r="B17" s="55" t="s">
        <v>51</v>
      </c>
      <c r="C17" s="56">
        <v>70</v>
      </c>
      <c r="D17" s="55" t="s">
        <v>3</v>
      </c>
      <c r="E17" s="55" t="s">
        <v>0</v>
      </c>
      <c r="F17" s="55">
        <v>85</v>
      </c>
      <c r="G17" s="55">
        <v>8.5</v>
      </c>
      <c r="H17" s="55">
        <v>1</v>
      </c>
      <c r="I17" s="57">
        <v>0</v>
      </c>
      <c r="J17" s="55">
        <v>0.27</v>
      </c>
      <c r="K17" s="58"/>
    </row>
    <row r="18" spans="1:11">
      <c r="A18" s="54">
        <v>45622</v>
      </c>
      <c r="B18" s="55" t="s">
        <v>51</v>
      </c>
      <c r="C18" s="56">
        <v>70</v>
      </c>
      <c r="D18" s="55" t="s">
        <v>3</v>
      </c>
      <c r="E18" s="55" t="s">
        <v>1</v>
      </c>
      <c r="F18" s="55">
        <v>85</v>
      </c>
      <c r="G18" s="55">
        <v>10</v>
      </c>
      <c r="H18" s="55">
        <v>1</v>
      </c>
      <c r="I18" s="57">
        <v>0</v>
      </c>
      <c r="J18" s="55">
        <v>0.35</v>
      </c>
      <c r="K18" s="58" t="s">
        <v>82</v>
      </c>
    </row>
    <row r="19" spans="1:11">
      <c r="A19" s="54">
        <v>45622</v>
      </c>
      <c r="B19" s="55" t="s">
        <v>43</v>
      </c>
      <c r="C19" s="56">
        <v>86</v>
      </c>
      <c r="D19" s="55" t="s">
        <v>3</v>
      </c>
      <c r="E19" s="55" t="s">
        <v>0</v>
      </c>
      <c r="F19" s="55">
        <v>103</v>
      </c>
      <c r="G19" s="55">
        <v>7</v>
      </c>
      <c r="H19" s="55">
        <v>1</v>
      </c>
      <c r="I19" s="57">
        <v>0</v>
      </c>
      <c r="J19" s="55">
        <v>0.86</v>
      </c>
      <c r="K19" s="58" t="s">
        <v>83</v>
      </c>
    </row>
    <row r="20" spans="1:11">
      <c r="A20" s="59">
        <v>45622</v>
      </c>
      <c r="B20" s="49" t="s">
        <v>43</v>
      </c>
      <c r="C20" s="50">
        <v>86</v>
      </c>
      <c r="D20" s="49" t="s">
        <v>3</v>
      </c>
      <c r="E20" s="49" t="s">
        <v>0</v>
      </c>
      <c r="F20" s="49">
        <v>103</v>
      </c>
      <c r="G20" s="49">
        <v>7</v>
      </c>
      <c r="H20" s="49">
        <v>1</v>
      </c>
      <c r="I20" s="51">
        <v>0</v>
      </c>
      <c r="J20" s="49">
        <v>0.86</v>
      </c>
      <c r="K20" s="52" t="s">
        <v>83</v>
      </c>
    </row>
    <row r="21" spans="1:11">
      <c r="A21" s="54">
        <v>45622</v>
      </c>
      <c r="B21" s="55" t="s">
        <v>51</v>
      </c>
      <c r="C21" s="56">
        <v>86</v>
      </c>
      <c r="D21" s="55" t="s">
        <v>3</v>
      </c>
      <c r="E21" s="55" t="s">
        <v>0</v>
      </c>
      <c r="F21" s="55">
        <v>103</v>
      </c>
      <c r="G21" s="55">
        <v>7</v>
      </c>
      <c r="H21" s="55">
        <v>1</v>
      </c>
      <c r="I21" s="57">
        <v>0</v>
      </c>
      <c r="J21" s="55">
        <v>0.33</v>
      </c>
      <c r="K21" s="58" t="s">
        <v>84</v>
      </c>
    </row>
    <row r="22" spans="1:11">
      <c r="A22" s="59">
        <v>45622</v>
      </c>
      <c r="B22" s="49" t="s">
        <v>51</v>
      </c>
      <c r="C22" s="50">
        <v>86</v>
      </c>
      <c r="D22" s="49" t="s">
        <v>3</v>
      </c>
      <c r="E22" s="49" t="s">
        <v>0</v>
      </c>
      <c r="F22" s="49">
        <v>103</v>
      </c>
      <c r="G22" s="49">
        <v>7</v>
      </c>
      <c r="H22" s="49">
        <v>1</v>
      </c>
      <c r="I22" s="51">
        <v>0</v>
      </c>
      <c r="J22" s="49">
        <v>0.33</v>
      </c>
      <c r="K22" s="52" t="s">
        <v>84</v>
      </c>
    </row>
    <row r="23" spans="1:11">
      <c r="A23" s="54">
        <v>45622</v>
      </c>
      <c r="B23" s="55" t="s">
        <v>29</v>
      </c>
      <c r="C23" s="56">
        <v>66</v>
      </c>
      <c r="D23" s="55" t="s">
        <v>3</v>
      </c>
      <c r="E23" s="55" t="s">
        <v>0</v>
      </c>
      <c r="F23" s="55">
        <v>70</v>
      </c>
      <c r="G23" s="55">
        <v>35</v>
      </c>
      <c r="H23" s="55">
        <v>3</v>
      </c>
      <c r="I23" s="57">
        <v>0</v>
      </c>
      <c r="J23" s="55">
        <v>3.77</v>
      </c>
      <c r="K23" s="58" t="s">
        <v>85</v>
      </c>
    </row>
    <row r="24" spans="1:11">
      <c r="A24" s="59">
        <v>45622</v>
      </c>
      <c r="B24" s="49" t="s">
        <v>51</v>
      </c>
      <c r="C24" s="50">
        <v>66</v>
      </c>
      <c r="D24" s="49" t="s">
        <v>3</v>
      </c>
      <c r="E24" s="49" t="s">
        <v>0</v>
      </c>
      <c r="F24" s="49">
        <v>85</v>
      </c>
      <c r="G24" s="49">
        <v>10</v>
      </c>
      <c r="H24" s="49">
        <v>1</v>
      </c>
      <c r="I24" s="51">
        <v>0</v>
      </c>
      <c r="J24" s="49">
        <v>0.32</v>
      </c>
      <c r="K24" s="52"/>
    </row>
    <row r="25" spans="1:11">
      <c r="A25" s="59">
        <v>45622</v>
      </c>
      <c r="B25" s="49" t="s">
        <v>51</v>
      </c>
      <c r="C25" s="50">
        <v>66</v>
      </c>
      <c r="D25" s="49" t="s">
        <v>3</v>
      </c>
      <c r="E25" s="49" t="s">
        <v>1</v>
      </c>
      <c r="F25" s="49">
        <v>85</v>
      </c>
      <c r="G25" s="49">
        <v>12</v>
      </c>
      <c r="H25" s="49">
        <v>1</v>
      </c>
      <c r="I25" s="51">
        <v>0</v>
      </c>
      <c r="J25" s="49">
        <v>0.42</v>
      </c>
      <c r="K25" s="52" t="s">
        <v>86</v>
      </c>
    </row>
    <row r="26" spans="1:11">
      <c r="A26" s="59">
        <v>45622</v>
      </c>
      <c r="B26" s="49" t="s">
        <v>51</v>
      </c>
      <c r="C26" s="50">
        <v>70</v>
      </c>
      <c r="D26" s="49" t="s">
        <v>3</v>
      </c>
      <c r="E26" s="49" t="s">
        <v>0</v>
      </c>
      <c r="F26" s="49">
        <v>80</v>
      </c>
      <c r="G26" s="49">
        <v>4.5</v>
      </c>
      <c r="H26" s="49">
        <v>1</v>
      </c>
      <c r="I26" s="51">
        <v>0</v>
      </c>
      <c r="J26" s="49">
        <v>0.13</v>
      </c>
      <c r="K26" s="52" t="s">
        <v>87</v>
      </c>
    </row>
    <row r="27" spans="1:11">
      <c r="A27" s="54">
        <v>45622</v>
      </c>
      <c r="B27" s="55" t="s">
        <v>51</v>
      </c>
      <c r="C27" s="56">
        <v>68</v>
      </c>
      <c r="D27" s="55" t="s">
        <v>3</v>
      </c>
      <c r="E27" s="55" t="s">
        <v>0</v>
      </c>
      <c r="F27" s="55">
        <v>100</v>
      </c>
      <c r="G27" s="55">
        <v>4</v>
      </c>
      <c r="H27" s="55">
        <v>1</v>
      </c>
      <c r="I27" s="57">
        <v>0</v>
      </c>
      <c r="J27" s="55">
        <v>0.18</v>
      </c>
      <c r="K27" s="58"/>
    </row>
    <row r="28" spans="1:11">
      <c r="A28" s="54">
        <v>45622</v>
      </c>
      <c r="B28" s="55" t="s">
        <v>51</v>
      </c>
      <c r="C28" s="56">
        <v>68</v>
      </c>
      <c r="D28" s="55" t="s">
        <v>3</v>
      </c>
      <c r="E28" s="55" t="s">
        <v>1</v>
      </c>
      <c r="F28" s="55">
        <v>100</v>
      </c>
      <c r="G28" s="55">
        <v>6</v>
      </c>
      <c r="H28" s="55">
        <v>1</v>
      </c>
      <c r="I28" s="57">
        <v>0</v>
      </c>
      <c r="J28" s="55">
        <v>0.28999999999999998</v>
      </c>
      <c r="K28" s="58" t="s">
        <v>88</v>
      </c>
    </row>
    <row r="29" spans="1:11">
      <c r="A29" s="59">
        <v>45622</v>
      </c>
      <c r="B29" s="49" t="s">
        <v>51</v>
      </c>
      <c r="C29" s="50">
        <v>69</v>
      </c>
      <c r="D29" s="49" t="s">
        <v>3</v>
      </c>
      <c r="E29" s="49" t="s">
        <v>0</v>
      </c>
      <c r="F29" s="49">
        <v>100</v>
      </c>
      <c r="G29" s="49">
        <v>4</v>
      </c>
      <c r="H29" s="49">
        <v>1</v>
      </c>
      <c r="I29" s="51">
        <v>0</v>
      </c>
      <c r="J29" s="49">
        <v>0.18</v>
      </c>
      <c r="K29" s="52"/>
    </row>
    <row r="30" spans="1:11">
      <c r="A30" s="59">
        <v>45622</v>
      </c>
      <c r="B30" s="49" t="s">
        <v>51</v>
      </c>
      <c r="C30" s="50">
        <v>69</v>
      </c>
      <c r="D30" s="49" t="s">
        <v>3</v>
      </c>
      <c r="E30" s="49" t="s">
        <v>1</v>
      </c>
      <c r="F30" s="49">
        <v>100</v>
      </c>
      <c r="G30" s="49">
        <v>4</v>
      </c>
      <c r="H30" s="49">
        <v>1</v>
      </c>
      <c r="I30" s="51">
        <v>0</v>
      </c>
      <c r="J30" s="49">
        <v>0.19</v>
      </c>
      <c r="K30" s="52" t="s">
        <v>89</v>
      </c>
    </row>
    <row r="31" spans="1:11">
      <c r="A31" s="54">
        <v>45622</v>
      </c>
      <c r="B31" s="55" t="s">
        <v>5</v>
      </c>
      <c r="C31" s="56">
        <v>48</v>
      </c>
      <c r="D31" s="55" t="s">
        <v>3</v>
      </c>
      <c r="E31" s="55" t="s">
        <v>0</v>
      </c>
      <c r="F31" s="55">
        <v>60</v>
      </c>
      <c r="G31" s="55">
        <v>10</v>
      </c>
      <c r="H31" s="55">
        <v>1</v>
      </c>
      <c r="I31" s="57">
        <v>0</v>
      </c>
      <c r="J31" s="55">
        <v>0.26</v>
      </c>
      <c r="K31" s="58"/>
    </row>
    <row r="32" spans="1:11">
      <c r="A32" s="54">
        <v>45622</v>
      </c>
      <c r="B32" s="55" t="s">
        <v>5</v>
      </c>
      <c r="C32" s="56">
        <v>48</v>
      </c>
      <c r="D32" s="55" t="s">
        <v>3</v>
      </c>
      <c r="E32" s="55" t="s">
        <v>1</v>
      </c>
      <c r="F32" s="55">
        <v>60</v>
      </c>
      <c r="G32" s="55">
        <v>10</v>
      </c>
      <c r="H32" s="55">
        <v>1</v>
      </c>
      <c r="I32" s="57">
        <v>0</v>
      </c>
      <c r="J32" s="55">
        <v>0.25</v>
      </c>
      <c r="K32" s="58" t="s">
        <v>90</v>
      </c>
    </row>
    <row r="33" spans="1:11">
      <c r="A33" s="59">
        <v>45622</v>
      </c>
      <c r="B33" s="49" t="s">
        <v>47</v>
      </c>
      <c r="C33" s="50">
        <v>106</v>
      </c>
      <c r="D33" s="49" t="s">
        <v>3</v>
      </c>
      <c r="E33" s="49" t="s">
        <v>0</v>
      </c>
      <c r="F33" s="49">
        <v>65</v>
      </c>
      <c r="G33" s="49">
        <v>19</v>
      </c>
      <c r="H33" s="49">
        <v>1</v>
      </c>
      <c r="I33" s="51">
        <v>0</v>
      </c>
      <c r="J33" s="49">
        <v>0.65</v>
      </c>
      <c r="K33" s="52"/>
    </row>
    <row r="34" spans="1:11">
      <c r="A34" s="59">
        <v>45622</v>
      </c>
      <c r="B34" s="49" t="s">
        <v>47</v>
      </c>
      <c r="C34" s="50">
        <v>106</v>
      </c>
      <c r="D34" s="49" t="s">
        <v>3</v>
      </c>
      <c r="E34" s="49" t="s">
        <v>1</v>
      </c>
      <c r="F34" s="49">
        <v>68</v>
      </c>
      <c r="G34" s="49">
        <v>20</v>
      </c>
      <c r="H34" s="49">
        <v>1</v>
      </c>
      <c r="I34" s="51">
        <v>0</v>
      </c>
      <c r="J34" s="49">
        <v>0.65</v>
      </c>
      <c r="K34" s="52" t="s">
        <v>92</v>
      </c>
    </row>
    <row r="35" spans="1:11">
      <c r="A35" s="54">
        <v>45623</v>
      </c>
      <c r="B35" s="55" t="s">
        <v>51</v>
      </c>
      <c r="C35" s="56">
        <v>69</v>
      </c>
      <c r="D35" s="55" t="s">
        <v>3</v>
      </c>
      <c r="E35" s="55" t="s">
        <v>0</v>
      </c>
      <c r="F35" s="55">
        <v>100</v>
      </c>
      <c r="G35" s="55">
        <v>11</v>
      </c>
      <c r="H35" s="55">
        <v>1</v>
      </c>
      <c r="I35" s="57">
        <v>0</v>
      </c>
      <c r="J35" s="55">
        <v>0.48</v>
      </c>
      <c r="K35" s="58"/>
    </row>
    <row r="36" spans="1:11">
      <c r="A36" s="54">
        <v>45623</v>
      </c>
      <c r="B36" s="55" t="s">
        <v>51</v>
      </c>
      <c r="C36" s="56">
        <v>69</v>
      </c>
      <c r="D36" s="55" t="s">
        <v>3</v>
      </c>
      <c r="E36" s="55" t="s">
        <v>1</v>
      </c>
      <c r="F36" s="55">
        <v>100</v>
      </c>
      <c r="G36" s="55">
        <v>11</v>
      </c>
      <c r="H36" s="55">
        <v>1</v>
      </c>
      <c r="I36" s="57">
        <v>0</v>
      </c>
      <c r="J36" s="55">
        <v>0.53</v>
      </c>
      <c r="K36" s="58" t="s">
        <v>93</v>
      </c>
    </row>
    <row r="37" spans="1:11">
      <c r="A37" s="59">
        <v>45623</v>
      </c>
      <c r="B37" s="49" t="s">
        <v>53</v>
      </c>
      <c r="C37" s="50">
        <v>75</v>
      </c>
      <c r="D37" s="49" t="s">
        <v>3</v>
      </c>
      <c r="E37" s="49" t="s">
        <v>0</v>
      </c>
      <c r="F37" s="49">
        <v>70</v>
      </c>
      <c r="G37" s="49">
        <v>40</v>
      </c>
      <c r="H37" s="49">
        <v>1</v>
      </c>
      <c r="I37" s="51">
        <v>0</v>
      </c>
      <c r="J37" s="49">
        <v>0.87</v>
      </c>
      <c r="K37" s="52"/>
    </row>
    <row r="38" spans="1:11">
      <c r="A38" s="59">
        <v>45623</v>
      </c>
      <c r="B38" s="49" t="s">
        <v>53</v>
      </c>
      <c r="C38" s="50">
        <v>75</v>
      </c>
      <c r="D38" s="49" t="s">
        <v>3</v>
      </c>
      <c r="E38" s="49" t="s">
        <v>1</v>
      </c>
      <c r="F38" s="49">
        <v>80</v>
      </c>
      <c r="G38" s="49">
        <v>60</v>
      </c>
      <c r="H38" s="49">
        <v>1</v>
      </c>
      <c r="I38" s="51">
        <v>0</v>
      </c>
      <c r="J38" s="49">
        <v>1.86</v>
      </c>
      <c r="K38" s="52" t="s">
        <v>94</v>
      </c>
    </row>
    <row r="39" spans="1:11">
      <c r="A39" s="54">
        <v>45623</v>
      </c>
      <c r="B39" s="55" t="s">
        <v>31</v>
      </c>
      <c r="C39" s="56">
        <v>75</v>
      </c>
      <c r="D39" s="55" t="s">
        <v>3</v>
      </c>
      <c r="E39" s="55" t="s">
        <v>0</v>
      </c>
      <c r="F39" s="55">
        <v>80</v>
      </c>
      <c r="G39" s="55">
        <v>40</v>
      </c>
      <c r="H39" s="55">
        <v>1</v>
      </c>
      <c r="I39" s="57">
        <v>0</v>
      </c>
      <c r="J39" s="55">
        <v>1.1299999999999999</v>
      </c>
      <c r="K39" s="58"/>
    </row>
    <row r="40" spans="1:11">
      <c r="A40" s="54">
        <v>45623</v>
      </c>
      <c r="B40" s="55" t="s">
        <v>31</v>
      </c>
      <c r="C40" s="56">
        <v>75</v>
      </c>
      <c r="D40" s="55" t="s">
        <v>3</v>
      </c>
      <c r="E40" s="55" t="s">
        <v>1</v>
      </c>
      <c r="F40" s="55">
        <v>98</v>
      </c>
      <c r="G40" s="55">
        <v>65</v>
      </c>
      <c r="H40" s="55">
        <v>2</v>
      </c>
      <c r="I40" s="57">
        <v>0</v>
      </c>
      <c r="J40" s="55">
        <v>6.03</v>
      </c>
      <c r="K40" s="58" t="s">
        <v>95</v>
      </c>
    </row>
    <row r="41" spans="1:11">
      <c r="A41" s="59">
        <v>45623</v>
      </c>
      <c r="B41" s="49" t="s">
        <v>31</v>
      </c>
      <c r="C41" s="50">
        <v>75</v>
      </c>
      <c r="D41" s="49" t="s">
        <v>3</v>
      </c>
      <c r="E41" s="49" t="s">
        <v>0</v>
      </c>
      <c r="F41" s="49">
        <v>55</v>
      </c>
      <c r="G41" s="49">
        <v>5</v>
      </c>
      <c r="H41" s="49">
        <v>1</v>
      </c>
      <c r="I41" s="51">
        <v>0</v>
      </c>
      <c r="J41" s="49">
        <v>7.0000000000000007E-2</v>
      </c>
      <c r="K41" s="52"/>
    </row>
    <row r="42" spans="1:11">
      <c r="A42" s="59">
        <v>45623</v>
      </c>
      <c r="B42" s="49" t="s">
        <v>31</v>
      </c>
      <c r="C42" s="50">
        <v>75</v>
      </c>
      <c r="D42" s="49" t="s">
        <v>3</v>
      </c>
      <c r="E42" s="49" t="s">
        <v>1</v>
      </c>
      <c r="F42" s="49">
        <v>60</v>
      </c>
      <c r="G42" s="49">
        <v>6.3</v>
      </c>
      <c r="H42" s="49">
        <v>2</v>
      </c>
      <c r="I42" s="51">
        <v>0</v>
      </c>
      <c r="J42" s="49">
        <v>0.22</v>
      </c>
      <c r="K42" s="52"/>
    </row>
    <row r="43" spans="1:11">
      <c r="A43" s="59">
        <v>45623</v>
      </c>
      <c r="B43" s="49" t="s">
        <v>31</v>
      </c>
      <c r="C43" s="50">
        <v>75</v>
      </c>
      <c r="D43" s="49" t="s">
        <v>3</v>
      </c>
      <c r="E43" s="49" t="s">
        <v>9</v>
      </c>
      <c r="F43" s="49">
        <v>55</v>
      </c>
      <c r="G43" s="49">
        <v>5</v>
      </c>
      <c r="H43" s="49">
        <v>2</v>
      </c>
      <c r="I43" s="51">
        <v>0</v>
      </c>
      <c r="J43" s="49">
        <v>0.1</v>
      </c>
      <c r="K43" s="52" t="s">
        <v>76</v>
      </c>
    </row>
    <row r="44" spans="1:11">
      <c r="A44" s="54">
        <v>45623</v>
      </c>
      <c r="B44" s="55" t="s">
        <v>17</v>
      </c>
      <c r="C44" s="56">
        <v>75</v>
      </c>
      <c r="D44" s="55" t="s">
        <v>3</v>
      </c>
      <c r="E44" s="55" t="s">
        <v>0</v>
      </c>
      <c r="F44" s="55">
        <v>55</v>
      </c>
      <c r="G44" s="55">
        <v>5</v>
      </c>
      <c r="H44" s="55">
        <v>1</v>
      </c>
      <c r="I44" s="57">
        <v>0</v>
      </c>
      <c r="J44" s="55">
        <v>0.09</v>
      </c>
      <c r="K44" s="58"/>
    </row>
    <row r="45" spans="1:11">
      <c r="A45" s="54">
        <v>45623</v>
      </c>
      <c r="B45" s="55" t="s">
        <v>17</v>
      </c>
      <c r="C45" s="56">
        <v>75</v>
      </c>
      <c r="D45" s="55" t="s">
        <v>3</v>
      </c>
      <c r="E45" s="55" t="s">
        <v>1</v>
      </c>
      <c r="F45" s="55">
        <v>60</v>
      </c>
      <c r="G45" s="55">
        <v>6.3</v>
      </c>
      <c r="H45" s="55">
        <v>2</v>
      </c>
      <c r="I45" s="57">
        <v>0</v>
      </c>
      <c r="J45" s="55">
        <v>0.28000000000000003</v>
      </c>
      <c r="K45" s="58"/>
    </row>
    <row r="46" spans="1:11">
      <c r="A46" s="54">
        <v>45623</v>
      </c>
      <c r="B46" s="55" t="s">
        <v>17</v>
      </c>
      <c r="C46" s="56">
        <v>75</v>
      </c>
      <c r="D46" s="55" t="s">
        <v>3</v>
      </c>
      <c r="E46" s="55" t="s">
        <v>9</v>
      </c>
      <c r="F46" s="55">
        <v>55</v>
      </c>
      <c r="G46" s="55">
        <v>5</v>
      </c>
      <c r="H46" s="55">
        <v>2</v>
      </c>
      <c r="I46" s="57">
        <v>0</v>
      </c>
      <c r="J46" s="55">
        <v>0.17</v>
      </c>
      <c r="K46" s="58" t="s">
        <v>96</v>
      </c>
    </row>
    <row r="47" spans="1:11">
      <c r="A47" s="59">
        <v>45623</v>
      </c>
      <c r="B47" s="49" t="s">
        <v>30</v>
      </c>
      <c r="C47" s="50">
        <v>75</v>
      </c>
      <c r="D47" s="49" t="s">
        <v>3</v>
      </c>
      <c r="E47" s="49" t="s">
        <v>0</v>
      </c>
      <c r="F47" s="49">
        <v>60</v>
      </c>
      <c r="G47" s="49">
        <v>6</v>
      </c>
      <c r="H47" s="49">
        <v>1</v>
      </c>
      <c r="I47" s="51">
        <v>0</v>
      </c>
      <c r="J47" s="49">
        <v>0.16</v>
      </c>
      <c r="K47" s="52"/>
    </row>
    <row r="48" spans="1:11">
      <c r="A48" s="59">
        <v>45623</v>
      </c>
      <c r="B48" s="49" t="s">
        <v>30</v>
      </c>
      <c r="C48" s="50">
        <v>75</v>
      </c>
      <c r="D48" s="49" t="s">
        <v>3</v>
      </c>
      <c r="E48" s="49" t="s">
        <v>1</v>
      </c>
      <c r="F48" s="49">
        <v>60</v>
      </c>
      <c r="G48" s="49">
        <v>5</v>
      </c>
      <c r="H48" s="49">
        <v>2</v>
      </c>
      <c r="I48" s="51">
        <v>0</v>
      </c>
      <c r="J48" s="49">
        <v>0.25</v>
      </c>
      <c r="K48" s="52" t="s">
        <v>97</v>
      </c>
    </row>
    <row r="49" spans="1:11">
      <c r="A49" s="54">
        <v>45623</v>
      </c>
      <c r="B49" s="55" t="s">
        <v>51</v>
      </c>
      <c r="C49" s="56">
        <v>46</v>
      </c>
      <c r="D49" s="55" t="s">
        <v>3</v>
      </c>
      <c r="E49" s="55" t="s">
        <v>0</v>
      </c>
      <c r="F49" s="55">
        <v>110</v>
      </c>
      <c r="G49" s="55">
        <v>3</v>
      </c>
      <c r="H49" s="55">
        <v>1</v>
      </c>
      <c r="I49" s="57">
        <v>0</v>
      </c>
      <c r="J49" s="55">
        <v>0.16</v>
      </c>
      <c r="K49" s="58"/>
    </row>
    <row r="50" spans="1:11">
      <c r="A50" s="54">
        <v>45623</v>
      </c>
      <c r="B50" s="55" t="s">
        <v>51</v>
      </c>
      <c r="C50" s="56">
        <v>46</v>
      </c>
      <c r="D50" s="55" t="s">
        <v>3</v>
      </c>
      <c r="E50" s="55" t="s">
        <v>1</v>
      </c>
      <c r="F50" s="55">
        <v>120</v>
      </c>
      <c r="G50" s="55">
        <v>5</v>
      </c>
      <c r="H50" s="55">
        <v>1</v>
      </c>
      <c r="I50" s="57">
        <v>0</v>
      </c>
      <c r="J50" s="55">
        <v>0.35</v>
      </c>
      <c r="K50" s="58" t="s">
        <v>90</v>
      </c>
    </row>
    <row r="51" spans="1:11">
      <c r="A51" s="54">
        <v>45623</v>
      </c>
      <c r="B51" s="55" t="s">
        <v>23</v>
      </c>
      <c r="C51" s="56">
        <v>70</v>
      </c>
      <c r="D51" s="55" t="s">
        <v>3</v>
      </c>
      <c r="E51" s="55" t="s">
        <v>0</v>
      </c>
      <c r="F51" s="55">
        <v>70</v>
      </c>
      <c r="G51" s="55">
        <v>20</v>
      </c>
      <c r="H51" s="55">
        <v>3</v>
      </c>
      <c r="I51" s="57">
        <v>0</v>
      </c>
      <c r="J51" s="55">
        <v>1.91</v>
      </c>
      <c r="K51" s="58"/>
    </row>
    <row r="52" spans="1:11">
      <c r="A52" s="54">
        <v>45623</v>
      </c>
      <c r="B52" s="55" t="s">
        <v>23</v>
      </c>
      <c r="C52" s="56">
        <v>70</v>
      </c>
      <c r="D52" s="55" t="s">
        <v>3</v>
      </c>
      <c r="E52" s="55" t="s">
        <v>1</v>
      </c>
      <c r="F52" s="55">
        <v>90</v>
      </c>
      <c r="G52" s="55">
        <v>25</v>
      </c>
      <c r="H52" s="55">
        <v>1</v>
      </c>
      <c r="I52" s="57">
        <v>0</v>
      </c>
      <c r="J52" s="55">
        <v>1.31</v>
      </c>
      <c r="K52" s="61">
        <v>3.22</v>
      </c>
    </row>
    <row r="53" spans="1:11">
      <c r="A53" s="59">
        <v>45623</v>
      </c>
      <c r="B53" s="49" t="s">
        <v>30</v>
      </c>
      <c r="C53" s="50">
        <v>65</v>
      </c>
      <c r="D53" s="49" t="s">
        <v>3</v>
      </c>
      <c r="E53" s="49" t="s">
        <v>0</v>
      </c>
      <c r="F53" s="49">
        <v>68</v>
      </c>
      <c r="G53" s="49">
        <v>15</v>
      </c>
      <c r="H53" s="49">
        <v>1</v>
      </c>
      <c r="I53" s="51">
        <v>0</v>
      </c>
      <c r="J53" s="49">
        <v>0.51</v>
      </c>
      <c r="K53" s="52"/>
    </row>
    <row r="54" spans="1:11">
      <c r="A54" s="59">
        <v>45623</v>
      </c>
      <c r="B54" s="49" t="s">
        <v>30</v>
      </c>
      <c r="C54" s="50">
        <v>65</v>
      </c>
      <c r="D54" s="49" t="s">
        <v>3</v>
      </c>
      <c r="E54" s="49" t="s">
        <v>1</v>
      </c>
      <c r="F54" s="49">
        <v>65</v>
      </c>
      <c r="G54" s="49">
        <v>9</v>
      </c>
      <c r="H54" s="49">
        <v>2</v>
      </c>
      <c r="I54" s="51">
        <v>0</v>
      </c>
      <c r="J54" s="49">
        <v>1.17</v>
      </c>
      <c r="K54" s="52" t="s">
        <v>98</v>
      </c>
    </row>
    <row r="55" spans="1:11">
      <c r="A55" s="54">
        <v>45623</v>
      </c>
      <c r="B55" s="55" t="s">
        <v>30</v>
      </c>
      <c r="C55" s="56">
        <v>60</v>
      </c>
      <c r="D55" s="55" t="s">
        <v>3</v>
      </c>
      <c r="E55" s="55" t="s">
        <v>0</v>
      </c>
      <c r="F55" s="55">
        <v>65</v>
      </c>
      <c r="G55" s="55">
        <v>3</v>
      </c>
      <c r="H55" s="55">
        <v>1</v>
      </c>
      <c r="I55" s="57">
        <v>0</v>
      </c>
      <c r="J55" s="55">
        <v>0.09</v>
      </c>
      <c r="K55" s="58" t="s">
        <v>99</v>
      </c>
    </row>
    <row r="56" spans="1:11">
      <c r="A56" s="59">
        <v>45623</v>
      </c>
      <c r="B56" s="49" t="s">
        <v>30</v>
      </c>
      <c r="C56" s="50">
        <v>57</v>
      </c>
      <c r="D56" s="49" t="s">
        <v>3</v>
      </c>
      <c r="E56" s="49" t="s">
        <v>0</v>
      </c>
      <c r="F56" s="49">
        <v>93</v>
      </c>
      <c r="G56" s="49">
        <v>7</v>
      </c>
      <c r="H56" s="49">
        <v>1</v>
      </c>
      <c r="I56" s="51">
        <v>0</v>
      </c>
      <c r="J56" s="49">
        <v>0.44</v>
      </c>
      <c r="K56" s="52"/>
    </row>
    <row r="57" spans="1:11">
      <c r="A57" s="59">
        <v>45623</v>
      </c>
      <c r="B57" s="49" t="s">
        <v>30</v>
      </c>
      <c r="C57" s="50">
        <v>57</v>
      </c>
      <c r="D57" s="49" t="s">
        <v>3</v>
      </c>
      <c r="E57" s="49" t="s">
        <v>1</v>
      </c>
      <c r="F57" s="49">
        <v>95</v>
      </c>
      <c r="G57" s="49">
        <v>7</v>
      </c>
      <c r="H57" s="49">
        <v>1</v>
      </c>
      <c r="I57" s="51">
        <v>0</v>
      </c>
      <c r="J57" s="49">
        <v>0.44</v>
      </c>
      <c r="K57" s="60">
        <f>J56+J57</f>
        <v>0.88</v>
      </c>
    </row>
    <row r="58" spans="1:11">
      <c r="A58" s="54">
        <v>45623</v>
      </c>
      <c r="B58" s="55" t="s">
        <v>51</v>
      </c>
      <c r="C58" s="56">
        <v>65</v>
      </c>
      <c r="D58" s="55" t="s">
        <v>3</v>
      </c>
      <c r="E58" s="55" t="s">
        <v>0</v>
      </c>
      <c r="F58" s="55">
        <v>110</v>
      </c>
      <c r="G58" s="55">
        <v>2.2999999999999998</v>
      </c>
      <c r="H58" s="55">
        <v>1</v>
      </c>
      <c r="I58" s="57">
        <v>0</v>
      </c>
      <c r="J58" s="55">
        <v>0.12</v>
      </c>
      <c r="K58" s="58"/>
    </row>
    <row r="59" spans="1:11">
      <c r="A59" s="54">
        <v>45623</v>
      </c>
      <c r="B59" s="55" t="s">
        <v>51</v>
      </c>
      <c r="C59" s="56">
        <v>65</v>
      </c>
      <c r="D59" s="55" t="s">
        <v>3</v>
      </c>
      <c r="E59" s="55" t="s">
        <v>1</v>
      </c>
      <c r="F59" s="55">
        <v>122</v>
      </c>
      <c r="G59" s="55">
        <v>6.3</v>
      </c>
      <c r="H59" s="55">
        <v>1</v>
      </c>
      <c r="I59" s="57">
        <v>0</v>
      </c>
      <c r="J59" s="55">
        <v>0.45</v>
      </c>
      <c r="K59" s="58" t="s">
        <v>100</v>
      </c>
    </row>
    <row r="60" spans="1:11">
      <c r="A60" s="59">
        <v>45623</v>
      </c>
      <c r="B60" s="49" t="s">
        <v>51</v>
      </c>
      <c r="C60" s="50">
        <v>65</v>
      </c>
      <c r="D60" s="49" t="s">
        <v>3</v>
      </c>
      <c r="E60" s="49" t="s">
        <v>0</v>
      </c>
      <c r="F60" s="49">
        <v>110</v>
      </c>
      <c r="G60" s="49">
        <v>2.2999999999999998</v>
      </c>
      <c r="H60" s="49">
        <v>1</v>
      </c>
      <c r="I60" s="51">
        <v>0</v>
      </c>
      <c r="J60" s="49">
        <v>0.12</v>
      </c>
      <c r="K60" s="52"/>
    </row>
    <row r="61" spans="1:11">
      <c r="A61" s="59">
        <v>45623</v>
      </c>
      <c r="B61" s="49" t="s">
        <v>51</v>
      </c>
      <c r="C61" s="50">
        <v>65</v>
      </c>
      <c r="D61" s="49" t="s">
        <v>3</v>
      </c>
      <c r="E61" s="49" t="s">
        <v>1</v>
      </c>
      <c r="F61" s="49">
        <v>122</v>
      </c>
      <c r="G61" s="49">
        <v>6.3</v>
      </c>
      <c r="H61" s="49">
        <v>1</v>
      </c>
      <c r="I61" s="51">
        <v>0</v>
      </c>
      <c r="J61" s="49">
        <v>0.45</v>
      </c>
      <c r="K61" s="52" t="s">
        <v>100</v>
      </c>
    </row>
    <row r="62" spans="1:11">
      <c r="A62" s="54">
        <v>45664</v>
      </c>
      <c r="B62" s="55" t="s">
        <v>51</v>
      </c>
      <c r="C62" s="56">
        <v>65</v>
      </c>
      <c r="D62" s="55" t="s">
        <v>3</v>
      </c>
      <c r="E62" s="55" t="s">
        <v>0</v>
      </c>
      <c r="F62" s="55">
        <v>85</v>
      </c>
      <c r="G62" s="55">
        <v>3.2</v>
      </c>
      <c r="H62" s="55">
        <v>1</v>
      </c>
      <c r="I62" s="57">
        <v>0</v>
      </c>
      <c r="J62" s="55">
        <v>0.1</v>
      </c>
      <c r="K62" s="58"/>
    </row>
    <row r="63" spans="1:11">
      <c r="A63" s="54">
        <v>45664</v>
      </c>
      <c r="B63" s="55" t="s">
        <v>51</v>
      </c>
      <c r="C63" s="56">
        <v>65</v>
      </c>
      <c r="D63" s="55" t="s">
        <v>3</v>
      </c>
      <c r="E63" s="55" t="s">
        <v>1</v>
      </c>
      <c r="F63" s="55">
        <v>85</v>
      </c>
      <c r="G63" s="55">
        <v>10</v>
      </c>
      <c r="H63" s="55">
        <v>1</v>
      </c>
      <c r="I63" s="57">
        <v>0</v>
      </c>
      <c r="J63" s="55">
        <v>0.35</v>
      </c>
      <c r="K63" s="58" t="s">
        <v>101</v>
      </c>
    </row>
    <row r="64" spans="1:11">
      <c r="A64" s="59">
        <v>45664</v>
      </c>
      <c r="B64" s="49" t="s">
        <v>23</v>
      </c>
      <c r="C64" s="50">
        <v>65</v>
      </c>
      <c r="D64" s="49" t="s">
        <v>3</v>
      </c>
      <c r="E64" s="49" t="s">
        <v>0</v>
      </c>
      <c r="F64" s="49">
        <v>75</v>
      </c>
      <c r="G64" s="49">
        <v>12</v>
      </c>
      <c r="H64" s="49">
        <v>2</v>
      </c>
      <c r="I64" s="51">
        <v>0</v>
      </c>
      <c r="J64" s="49">
        <v>0.87</v>
      </c>
      <c r="K64" s="52"/>
    </row>
    <row r="65" spans="1:11">
      <c r="A65" s="59">
        <v>45664</v>
      </c>
      <c r="B65" s="49" t="s">
        <v>23</v>
      </c>
      <c r="C65" s="50">
        <v>65</v>
      </c>
      <c r="D65" s="49" t="s">
        <v>3</v>
      </c>
      <c r="E65" s="49" t="s">
        <v>1</v>
      </c>
      <c r="F65" s="49">
        <v>76</v>
      </c>
      <c r="G65" s="49">
        <v>10</v>
      </c>
      <c r="H65" s="49">
        <v>3</v>
      </c>
      <c r="I65" s="51">
        <v>0</v>
      </c>
      <c r="J65" s="49">
        <v>1.1200000000000001</v>
      </c>
      <c r="K65" s="52" t="s">
        <v>102</v>
      </c>
    </row>
    <row r="66" spans="1:11">
      <c r="A66" s="54">
        <v>45664</v>
      </c>
      <c r="B66" s="55" t="s">
        <v>43</v>
      </c>
      <c r="C66" s="56">
        <v>73</v>
      </c>
      <c r="D66" s="55" t="s">
        <v>3</v>
      </c>
      <c r="E66" s="55" t="s">
        <v>0</v>
      </c>
      <c r="F66" s="55">
        <v>75</v>
      </c>
      <c r="G66" s="55">
        <v>20</v>
      </c>
      <c r="H66" s="55">
        <v>1</v>
      </c>
      <c r="I66" s="57">
        <v>0</v>
      </c>
      <c r="J66" s="55">
        <v>1.32</v>
      </c>
      <c r="K66" s="58"/>
    </row>
    <row r="67" spans="1:11">
      <c r="A67" s="54">
        <v>45664</v>
      </c>
      <c r="B67" s="55" t="s">
        <v>43</v>
      </c>
      <c r="C67" s="56">
        <v>73</v>
      </c>
      <c r="D67" s="55" t="s">
        <v>3</v>
      </c>
      <c r="E67" s="55" t="s">
        <v>1</v>
      </c>
      <c r="F67" s="55">
        <v>76</v>
      </c>
      <c r="G67" s="55">
        <v>25</v>
      </c>
      <c r="H67" s="55">
        <v>1</v>
      </c>
      <c r="I67" s="57">
        <v>0</v>
      </c>
      <c r="J67" s="55">
        <v>1.97</v>
      </c>
      <c r="K67" s="58" t="s">
        <v>103</v>
      </c>
    </row>
    <row r="68" spans="1:11">
      <c r="A68" s="59">
        <v>45664</v>
      </c>
      <c r="B68" s="49" t="s">
        <v>51</v>
      </c>
      <c r="C68" s="50">
        <v>67</v>
      </c>
      <c r="D68" s="49" t="s">
        <v>3</v>
      </c>
      <c r="E68" s="49" t="s">
        <v>0</v>
      </c>
      <c r="F68" s="49">
        <v>100</v>
      </c>
      <c r="G68" s="49">
        <v>5</v>
      </c>
      <c r="H68" s="49">
        <v>1</v>
      </c>
      <c r="I68" s="51">
        <v>0</v>
      </c>
      <c r="J68" s="49">
        <v>0.22</v>
      </c>
      <c r="K68" s="52"/>
    </row>
    <row r="69" spans="1:11">
      <c r="A69" s="59">
        <v>45664</v>
      </c>
      <c r="B69" s="49" t="s">
        <v>51</v>
      </c>
      <c r="C69" s="50">
        <v>67</v>
      </c>
      <c r="D69" s="49" t="s">
        <v>3</v>
      </c>
      <c r="E69" s="49" t="s">
        <v>1</v>
      </c>
      <c r="F69" s="49">
        <v>100</v>
      </c>
      <c r="G69" s="49">
        <v>10</v>
      </c>
      <c r="H69" s="49">
        <v>1</v>
      </c>
      <c r="I69" s="51">
        <v>0</v>
      </c>
      <c r="J69" s="49">
        <v>0.48</v>
      </c>
      <c r="K69" s="52" t="s">
        <v>104</v>
      </c>
    </row>
    <row r="70" spans="1:11">
      <c r="A70" s="54">
        <v>45664</v>
      </c>
      <c r="B70" s="55" t="s">
        <v>51</v>
      </c>
      <c r="C70" s="56">
        <v>58</v>
      </c>
      <c r="D70" s="55" t="s">
        <v>3</v>
      </c>
      <c r="E70" s="55" t="s">
        <v>0</v>
      </c>
      <c r="F70" s="55">
        <v>90</v>
      </c>
      <c r="G70" s="55">
        <v>4</v>
      </c>
      <c r="H70" s="55">
        <v>1</v>
      </c>
      <c r="I70" s="57">
        <v>0</v>
      </c>
      <c r="J70" s="55">
        <v>0.14000000000000001</v>
      </c>
      <c r="K70" s="58"/>
    </row>
    <row r="71" spans="1:11">
      <c r="A71" s="54">
        <v>45664</v>
      </c>
      <c r="B71" s="55" t="s">
        <v>51</v>
      </c>
      <c r="C71" s="56">
        <v>58</v>
      </c>
      <c r="D71" s="55" t="s">
        <v>3</v>
      </c>
      <c r="E71" s="55" t="s">
        <v>1</v>
      </c>
      <c r="F71" s="55">
        <v>90</v>
      </c>
      <c r="G71" s="55">
        <v>8</v>
      </c>
      <c r="H71" s="55">
        <v>1</v>
      </c>
      <c r="I71" s="57">
        <v>0</v>
      </c>
      <c r="J71" s="55">
        <v>0.31</v>
      </c>
      <c r="K71" s="58" t="s">
        <v>101</v>
      </c>
    </row>
    <row r="72" spans="1:11">
      <c r="A72" s="54">
        <v>45665</v>
      </c>
      <c r="B72" s="55" t="s">
        <v>51</v>
      </c>
      <c r="C72" s="56">
        <v>75</v>
      </c>
      <c r="D72" s="55" t="s">
        <v>3</v>
      </c>
      <c r="E72" s="55" t="s">
        <v>0</v>
      </c>
      <c r="F72" s="55">
        <v>95</v>
      </c>
      <c r="G72" s="55">
        <v>2</v>
      </c>
      <c r="H72" s="55">
        <v>1</v>
      </c>
      <c r="I72" s="57">
        <v>0</v>
      </c>
      <c r="J72" s="55">
        <v>0.08</v>
      </c>
      <c r="K72" s="58"/>
    </row>
    <row r="73" spans="1:11">
      <c r="A73" s="54">
        <v>45665</v>
      </c>
      <c r="B73" s="55" t="s">
        <v>51</v>
      </c>
      <c r="C73" s="56">
        <v>75</v>
      </c>
      <c r="D73" s="55" t="s">
        <v>3</v>
      </c>
      <c r="E73" s="55" t="s">
        <v>1</v>
      </c>
      <c r="F73" s="55">
        <v>100</v>
      </c>
      <c r="G73" s="55">
        <v>3</v>
      </c>
      <c r="H73" s="55">
        <v>1</v>
      </c>
      <c r="I73" s="57">
        <v>1</v>
      </c>
      <c r="J73" s="55">
        <v>0.28999999999999998</v>
      </c>
      <c r="K73" s="58">
        <f>J73+J72</f>
        <v>0.37</v>
      </c>
    </row>
    <row r="74" spans="1:11">
      <c r="A74" s="59">
        <v>45665</v>
      </c>
      <c r="B74" s="49" t="s">
        <v>30</v>
      </c>
      <c r="C74" s="50">
        <v>56</v>
      </c>
      <c r="D74" s="49" t="s">
        <v>3</v>
      </c>
      <c r="E74" s="49" t="s">
        <v>0</v>
      </c>
      <c r="F74" s="49">
        <v>60</v>
      </c>
      <c r="G74" s="49">
        <v>10</v>
      </c>
      <c r="H74" s="49">
        <v>1</v>
      </c>
      <c r="I74" s="51">
        <v>0</v>
      </c>
      <c r="J74" s="49">
        <v>0.26</v>
      </c>
      <c r="K74" s="52"/>
    </row>
    <row r="75" spans="1:11">
      <c r="A75" s="59">
        <v>45665</v>
      </c>
      <c r="B75" s="49" t="s">
        <v>30</v>
      </c>
      <c r="C75" s="50">
        <v>56</v>
      </c>
      <c r="D75" s="49" t="s">
        <v>3</v>
      </c>
      <c r="E75" s="49" t="s">
        <v>1</v>
      </c>
      <c r="F75" s="49">
        <v>60</v>
      </c>
      <c r="G75" s="49">
        <v>3</v>
      </c>
      <c r="H75" s="49">
        <v>2</v>
      </c>
      <c r="I75" s="51">
        <v>0</v>
      </c>
      <c r="J75" s="49">
        <v>0.33</v>
      </c>
      <c r="K75" s="52" t="s">
        <v>77</v>
      </c>
    </row>
    <row r="76" spans="1:11">
      <c r="A76" s="54">
        <v>45665</v>
      </c>
      <c r="B76" s="55" t="s">
        <v>30</v>
      </c>
      <c r="C76" s="56">
        <v>56</v>
      </c>
      <c r="D76" s="55" t="s">
        <v>3</v>
      </c>
      <c r="E76" s="55" t="s">
        <v>0</v>
      </c>
      <c r="F76" s="55">
        <v>65</v>
      </c>
      <c r="G76" s="55">
        <v>10</v>
      </c>
      <c r="H76" s="55">
        <v>1</v>
      </c>
      <c r="I76" s="57">
        <v>0</v>
      </c>
      <c r="J76" s="55">
        <v>0.31</v>
      </c>
      <c r="K76" s="58"/>
    </row>
    <row r="77" spans="1:11">
      <c r="A77" s="54">
        <v>45665</v>
      </c>
      <c r="B77" s="55" t="s">
        <v>30</v>
      </c>
      <c r="C77" s="56">
        <v>56</v>
      </c>
      <c r="D77" s="55" t="s">
        <v>3</v>
      </c>
      <c r="E77" s="55" t="s">
        <v>1</v>
      </c>
      <c r="F77" s="55">
        <v>55</v>
      </c>
      <c r="G77" s="55">
        <v>3.5</v>
      </c>
      <c r="H77" s="55">
        <v>2</v>
      </c>
      <c r="I77" s="57">
        <v>0</v>
      </c>
      <c r="J77" s="55">
        <v>0.33</v>
      </c>
      <c r="K77" s="58" t="s">
        <v>106</v>
      </c>
    </row>
    <row r="78" spans="1:11">
      <c r="A78" s="59">
        <v>45665</v>
      </c>
      <c r="B78" s="49" t="s">
        <v>54</v>
      </c>
      <c r="C78" s="50">
        <v>60</v>
      </c>
      <c r="D78" s="49" t="s">
        <v>3</v>
      </c>
      <c r="E78" s="49" t="s">
        <v>0</v>
      </c>
      <c r="F78" s="49">
        <v>85</v>
      </c>
      <c r="G78" s="49">
        <v>25</v>
      </c>
      <c r="H78" s="49">
        <v>3</v>
      </c>
      <c r="I78" s="51">
        <v>0</v>
      </c>
      <c r="J78" s="49">
        <v>2.39</v>
      </c>
      <c r="K78" s="52"/>
    </row>
    <row r="79" spans="1:11">
      <c r="A79" s="59">
        <v>45665</v>
      </c>
      <c r="B79" s="49" t="s">
        <v>54</v>
      </c>
      <c r="C79" s="50">
        <v>60</v>
      </c>
      <c r="D79" s="49" t="s">
        <v>3</v>
      </c>
      <c r="E79" s="49" t="s">
        <v>1</v>
      </c>
      <c r="F79" s="49">
        <v>85</v>
      </c>
      <c r="G79" s="49">
        <v>35</v>
      </c>
      <c r="H79" s="49">
        <v>3</v>
      </c>
      <c r="I79" s="51">
        <v>0</v>
      </c>
      <c r="J79" s="49">
        <v>3.67</v>
      </c>
      <c r="K79" s="52" t="s">
        <v>107</v>
      </c>
    </row>
    <row r="80" spans="1:11">
      <c r="A80" s="54">
        <v>45665</v>
      </c>
      <c r="B80" s="55" t="s">
        <v>51</v>
      </c>
      <c r="C80" s="56">
        <v>65</v>
      </c>
      <c r="D80" s="55" t="s">
        <v>3</v>
      </c>
      <c r="E80" s="55" t="s">
        <v>0</v>
      </c>
      <c r="F80" s="55">
        <v>80</v>
      </c>
      <c r="G80" s="55">
        <v>10</v>
      </c>
      <c r="H80" s="55">
        <v>1</v>
      </c>
      <c r="I80" s="57">
        <v>0</v>
      </c>
      <c r="J80" s="55">
        <v>0.28000000000000003</v>
      </c>
      <c r="K80" s="58"/>
    </row>
    <row r="81" spans="1:11">
      <c r="A81" s="54">
        <v>45665</v>
      </c>
      <c r="B81" s="55" t="s">
        <v>51</v>
      </c>
      <c r="C81" s="56">
        <v>65</v>
      </c>
      <c r="D81" s="55" t="s">
        <v>3</v>
      </c>
      <c r="E81" s="55" t="s">
        <v>1</v>
      </c>
      <c r="F81" s="55">
        <v>80</v>
      </c>
      <c r="G81" s="55">
        <v>3.5</v>
      </c>
      <c r="H81" s="55">
        <v>1</v>
      </c>
      <c r="I81" s="57">
        <v>0</v>
      </c>
      <c r="J81" s="55">
        <v>0.11</v>
      </c>
      <c r="K81" s="58" t="s">
        <v>76</v>
      </c>
    </row>
    <row r="82" spans="1:11">
      <c r="A82" s="59">
        <v>45665</v>
      </c>
      <c r="B82" s="49" t="s">
        <v>51</v>
      </c>
      <c r="C82" s="50">
        <v>65</v>
      </c>
      <c r="D82" s="49" t="s">
        <v>3</v>
      </c>
      <c r="E82" s="49" t="s">
        <v>0</v>
      </c>
      <c r="F82" s="49">
        <v>56</v>
      </c>
      <c r="G82" s="49">
        <v>2</v>
      </c>
      <c r="H82" s="49">
        <v>1</v>
      </c>
      <c r="I82" s="51">
        <v>0</v>
      </c>
      <c r="J82" s="49">
        <v>7.0000000000000007E-2</v>
      </c>
      <c r="K82" s="52"/>
    </row>
    <row r="83" spans="1:11">
      <c r="A83" s="59">
        <v>45665</v>
      </c>
      <c r="B83" s="49" t="s">
        <v>51</v>
      </c>
      <c r="C83" s="50">
        <v>65</v>
      </c>
      <c r="D83" s="49" t="s">
        <v>3</v>
      </c>
      <c r="E83" s="49" t="s">
        <v>1</v>
      </c>
      <c r="F83" s="49">
        <v>55</v>
      </c>
      <c r="G83" s="49">
        <v>2</v>
      </c>
      <c r="H83" s="49">
        <v>1</v>
      </c>
      <c r="I83" s="51">
        <v>0</v>
      </c>
      <c r="J83" s="49">
        <v>0.08</v>
      </c>
      <c r="K83" s="52"/>
    </row>
    <row r="84" spans="1:11">
      <c r="A84" s="59">
        <v>45665</v>
      </c>
      <c r="B84" s="49" t="s">
        <v>51</v>
      </c>
      <c r="C84" s="50">
        <v>65</v>
      </c>
      <c r="D84" s="49" t="s">
        <v>3</v>
      </c>
      <c r="E84" s="49" t="s">
        <v>9</v>
      </c>
      <c r="F84" s="49">
        <v>50</v>
      </c>
      <c r="G84" s="49">
        <v>1.8</v>
      </c>
      <c r="H84" s="49">
        <v>1</v>
      </c>
      <c r="I84" s="51">
        <v>0</v>
      </c>
      <c r="J84" s="49">
        <v>0.05</v>
      </c>
      <c r="K84" s="52" t="s">
        <v>108</v>
      </c>
    </row>
    <row r="85" spans="1:11">
      <c r="A85" s="54">
        <v>45665</v>
      </c>
      <c r="B85" s="55" t="s">
        <v>51</v>
      </c>
      <c r="C85" s="56">
        <v>65</v>
      </c>
      <c r="D85" s="55" t="s">
        <v>3</v>
      </c>
      <c r="E85" s="55" t="s">
        <v>0</v>
      </c>
      <c r="F85" s="55">
        <v>56</v>
      </c>
      <c r="G85" s="55">
        <v>3.5</v>
      </c>
      <c r="H85" s="55">
        <v>1</v>
      </c>
      <c r="I85" s="57">
        <v>0</v>
      </c>
      <c r="J85" s="55">
        <v>0.18</v>
      </c>
      <c r="K85" s="58"/>
    </row>
    <row r="86" spans="1:11">
      <c r="A86" s="54">
        <v>45665</v>
      </c>
      <c r="B86" s="55" t="s">
        <v>51</v>
      </c>
      <c r="C86" s="56">
        <v>65</v>
      </c>
      <c r="D86" s="55" t="s">
        <v>3</v>
      </c>
      <c r="E86" s="55" t="s">
        <v>1</v>
      </c>
      <c r="F86" s="55">
        <v>56</v>
      </c>
      <c r="G86" s="55">
        <v>2</v>
      </c>
      <c r="H86" s="55">
        <v>1</v>
      </c>
      <c r="I86" s="57">
        <v>0</v>
      </c>
      <c r="J86" s="55">
        <v>0.1</v>
      </c>
      <c r="K86" s="58" t="s">
        <v>109</v>
      </c>
    </row>
    <row r="87" spans="1:11">
      <c r="A87" s="59">
        <v>45665</v>
      </c>
      <c r="B87" s="49" t="s">
        <v>23</v>
      </c>
      <c r="C87" s="50">
        <v>60</v>
      </c>
      <c r="D87" s="49" t="s">
        <v>3</v>
      </c>
      <c r="E87" s="49" t="s">
        <v>0</v>
      </c>
      <c r="F87" s="49">
        <v>75</v>
      </c>
      <c r="G87" s="49">
        <v>14</v>
      </c>
      <c r="H87" s="49">
        <v>2</v>
      </c>
      <c r="I87" s="51">
        <v>0</v>
      </c>
      <c r="J87" s="49">
        <v>1.02</v>
      </c>
      <c r="K87" s="52"/>
    </row>
    <row r="88" spans="1:11">
      <c r="A88" s="59">
        <v>45665</v>
      </c>
      <c r="B88" s="49" t="s">
        <v>23</v>
      </c>
      <c r="C88" s="50">
        <v>60</v>
      </c>
      <c r="D88" s="49" t="s">
        <v>3</v>
      </c>
      <c r="E88" s="49" t="s">
        <v>1</v>
      </c>
      <c r="F88" s="49">
        <v>76</v>
      </c>
      <c r="G88" s="49">
        <v>14</v>
      </c>
      <c r="H88" s="49">
        <v>2</v>
      </c>
      <c r="I88" s="51">
        <v>0</v>
      </c>
      <c r="J88" s="49">
        <v>1.05</v>
      </c>
      <c r="K88" s="52" t="s">
        <v>110</v>
      </c>
    </row>
    <row r="89" spans="1:11">
      <c r="A89" s="54">
        <v>45665</v>
      </c>
      <c r="B89" s="55" t="s">
        <v>51</v>
      </c>
      <c r="C89" s="56">
        <v>75</v>
      </c>
      <c r="D89" s="55" t="s">
        <v>3</v>
      </c>
      <c r="E89" s="55" t="s">
        <v>0</v>
      </c>
      <c r="F89" s="55">
        <v>80</v>
      </c>
      <c r="G89" s="55">
        <v>6</v>
      </c>
      <c r="H89" s="55">
        <v>1</v>
      </c>
      <c r="I89" s="57">
        <v>0</v>
      </c>
      <c r="J89" s="55">
        <v>0.17</v>
      </c>
      <c r="K89" s="58"/>
    </row>
    <row r="90" spans="1:11">
      <c r="A90" s="54">
        <v>45665</v>
      </c>
      <c r="B90" s="55" t="s">
        <v>51</v>
      </c>
      <c r="C90" s="56">
        <v>75</v>
      </c>
      <c r="D90" s="55" t="s">
        <v>3</v>
      </c>
      <c r="E90" s="55" t="s">
        <v>1</v>
      </c>
      <c r="F90" s="55">
        <v>80</v>
      </c>
      <c r="G90" s="55">
        <v>3.5</v>
      </c>
      <c r="H90" s="55">
        <v>1</v>
      </c>
      <c r="I90" s="57">
        <v>0</v>
      </c>
      <c r="J90" s="55">
        <v>0.11</v>
      </c>
      <c r="K90" s="58" t="s">
        <v>109</v>
      </c>
    </row>
    <row r="91" spans="1:11">
      <c r="A91" s="59">
        <v>45665</v>
      </c>
      <c r="B91" s="49" t="s">
        <v>23</v>
      </c>
      <c r="C91" s="50">
        <v>75</v>
      </c>
      <c r="D91" s="49" t="s">
        <v>3</v>
      </c>
      <c r="E91" s="49" t="s">
        <v>0</v>
      </c>
      <c r="F91" s="49">
        <v>76</v>
      </c>
      <c r="G91" s="49">
        <v>14</v>
      </c>
      <c r="H91" s="49">
        <v>1</v>
      </c>
      <c r="I91" s="51">
        <v>0</v>
      </c>
      <c r="J91" s="49">
        <v>0.52</v>
      </c>
      <c r="K91" s="52"/>
    </row>
    <row r="92" spans="1:11">
      <c r="A92" s="59">
        <v>45665</v>
      </c>
      <c r="B92" s="49" t="s">
        <v>23</v>
      </c>
      <c r="C92" s="50">
        <v>75</v>
      </c>
      <c r="D92" s="49" t="s">
        <v>3</v>
      </c>
      <c r="E92" s="49" t="s">
        <v>1</v>
      </c>
      <c r="F92" s="49">
        <v>76</v>
      </c>
      <c r="G92" s="49">
        <v>15</v>
      </c>
      <c r="H92" s="49">
        <v>1</v>
      </c>
      <c r="I92" s="51">
        <v>0</v>
      </c>
      <c r="J92" s="49">
        <v>0.56000000000000005</v>
      </c>
      <c r="K92" s="52" t="s">
        <v>111</v>
      </c>
    </row>
    <row r="93" spans="1:11">
      <c r="A93" s="54">
        <v>45665</v>
      </c>
      <c r="B93" s="55" t="s">
        <v>51</v>
      </c>
      <c r="C93" s="56">
        <v>75</v>
      </c>
      <c r="D93" s="55" t="s">
        <v>3</v>
      </c>
      <c r="E93" s="55" t="s">
        <v>0</v>
      </c>
      <c r="F93" s="55">
        <v>120</v>
      </c>
      <c r="G93" s="55">
        <v>4.5999999999999996</v>
      </c>
      <c r="H93" s="55">
        <v>1</v>
      </c>
      <c r="I93" s="57">
        <v>0</v>
      </c>
      <c r="J93" s="55">
        <v>0.28999999999999998</v>
      </c>
      <c r="K93" s="58"/>
    </row>
    <row r="94" spans="1:11">
      <c r="A94" s="54">
        <v>45665</v>
      </c>
      <c r="B94" s="55" t="s">
        <v>51</v>
      </c>
      <c r="C94" s="56">
        <v>75</v>
      </c>
      <c r="D94" s="55" t="s">
        <v>3</v>
      </c>
      <c r="E94" s="55" t="s">
        <v>1</v>
      </c>
      <c r="F94" s="55">
        <v>128</v>
      </c>
      <c r="G94" s="55">
        <v>5.8</v>
      </c>
      <c r="H94" s="55">
        <v>1</v>
      </c>
      <c r="I94" s="57">
        <v>0</v>
      </c>
      <c r="J94" s="55">
        <v>0.46</v>
      </c>
      <c r="K94" s="58" t="s">
        <v>112</v>
      </c>
    </row>
    <row r="95" spans="1:11">
      <c r="A95" s="59">
        <v>45665</v>
      </c>
      <c r="B95" s="49" t="s">
        <v>51</v>
      </c>
      <c r="C95" s="50">
        <v>61</v>
      </c>
      <c r="D95" s="49" t="s">
        <v>3</v>
      </c>
      <c r="E95" s="49" t="s">
        <v>0</v>
      </c>
      <c r="F95" s="49">
        <v>125</v>
      </c>
      <c r="G95" s="49">
        <v>4</v>
      </c>
      <c r="H95" s="49">
        <v>1</v>
      </c>
      <c r="I95" s="51">
        <v>0</v>
      </c>
      <c r="J95" s="49">
        <v>0.27</v>
      </c>
      <c r="K95" s="52"/>
    </row>
    <row r="96" spans="1:11">
      <c r="A96" s="59">
        <v>45665</v>
      </c>
      <c r="B96" s="49" t="s">
        <v>51</v>
      </c>
      <c r="C96" s="50">
        <v>61</v>
      </c>
      <c r="D96" s="49" t="s">
        <v>3</v>
      </c>
      <c r="E96" s="49" t="s">
        <v>1</v>
      </c>
      <c r="F96" s="49">
        <v>135</v>
      </c>
      <c r="G96" s="49">
        <v>5.6</v>
      </c>
      <c r="H96" s="49">
        <v>1</v>
      </c>
      <c r="I96" s="51">
        <v>0</v>
      </c>
      <c r="J96" s="49">
        <v>0.49</v>
      </c>
      <c r="K96" s="52" t="s">
        <v>113</v>
      </c>
    </row>
    <row r="97" spans="1:11">
      <c r="A97" s="54">
        <v>45665</v>
      </c>
      <c r="B97" s="55" t="s">
        <v>51</v>
      </c>
      <c r="C97" s="56">
        <v>60</v>
      </c>
      <c r="D97" s="55" t="s">
        <v>3</v>
      </c>
      <c r="E97" s="55" t="s">
        <v>0</v>
      </c>
      <c r="F97" s="55">
        <v>88</v>
      </c>
      <c r="G97" s="55">
        <v>2</v>
      </c>
      <c r="H97" s="55">
        <v>1</v>
      </c>
      <c r="I97" s="57">
        <v>0</v>
      </c>
      <c r="J97" s="55">
        <v>7.0000000000000007E-2</v>
      </c>
      <c r="K97" s="58" t="s">
        <v>114</v>
      </c>
    </row>
    <row r="98" spans="1:11">
      <c r="A98" s="59">
        <v>45665</v>
      </c>
      <c r="B98" s="49" t="s">
        <v>10</v>
      </c>
      <c r="C98" s="50">
        <v>68</v>
      </c>
      <c r="D98" s="49" t="s">
        <v>3</v>
      </c>
      <c r="E98" s="49" t="s">
        <v>0</v>
      </c>
      <c r="F98" s="49">
        <v>78</v>
      </c>
      <c r="G98" s="49">
        <v>32</v>
      </c>
      <c r="H98" s="49">
        <v>2</v>
      </c>
      <c r="I98" s="51">
        <v>1</v>
      </c>
      <c r="J98" s="49">
        <v>6.83</v>
      </c>
      <c r="K98" s="52" t="s">
        <v>115</v>
      </c>
    </row>
    <row r="99" spans="1:11">
      <c r="A99" s="54">
        <v>45665</v>
      </c>
      <c r="B99" s="55" t="s">
        <v>10</v>
      </c>
      <c r="C99" s="56">
        <v>67</v>
      </c>
      <c r="D99" s="55" t="s">
        <v>3</v>
      </c>
      <c r="E99" s="55" t="s">
        <v>0</v>
      </c>
      <c r="F99" s="55">
        <v>77</v>
      </c>
      <c r="G99" s="55">
        <v>32</v>
      </c>
      <c r="H99" s="55">
        <v>2</v>
      </c>
      <c r="I99" s="57">
        <v>0</v>
      </c>
      <c r="J99" s="55">
        <v>4.4400000000000004</v>
      </c>
      <c r="K99" s="58" t="s">
        <v>116</v>
      </c>
    </row>
    <row r="100" spans="1:11">
      <c r="A100" s="59">
        <v>45665</v>
      </c>
      <c r="B100" s="49" t="s">
        <v>43</v>
      </c>
      <c r="C100" s="50">
        <v>72</v>
      </c>
      <c r="D100" s="49" t="s">
        <v>3</v>
      </c>
      <c r="E100" s="49" t="s">
        <v>0</v>
      </c>
      <c r="F100" s="49">
        <v>77</v>
      </c>
      <c r="G100" s="49">
        <v>18</v>
      </c>
      <c r="H100" s="49">
        <v>2</v>
      </c>
      <c r="I100" s="51">
        <v>0</v>
      </c>
      <c r="J100" s="49">
        <v>2.5</v>
      </c>
      <c r="K100" s="52" t="s">
        <v>117</v>
      </c>
    </row>
    <row r="101" spans="1:11">
      <c r="A101" s="54">
        <v>45665</v>
      </c>
      <c r="B101" s="55" t="s">
        <v>23</v>
      </c>
      <c r="C101" s="56">
        <v>65</v>
      </c>
      <c r="D101" s="55" t="s">
        <v>3</v>
      </c>
      <c r="E101" s="55" t="s">
        <v>0</v>
      </c>
      <c r="F101" s="55">
        <v>65</v>
      </c>
      <c r="G101" s="55">
        <v>8</v>
      </c>
      <c r="H101" s="55">
        <v>2</v>
      </c>
      <c r="I101" s="57">
        <v>0</v>
      </c>
      <c r="J101" s="55">
        <v>0.44</v>
      </c>
      <c r="K101" s="58"/>
    </row>
    <row r="102" spans="1:11">
      <c r="A102" s="54">
        <v>45665</v>
      </c>
      <c r="B102" s="55" t="s">
        <v>23</v>
      </c>
      <c r="C102" s="56">
        <v>65</v>
      </c>
      <c r="D102" s="55" t="s">
        <v>3</v>
      </c>
      <c r="E102" s="55" t="s">
        <v>1</v>
      </c>
      <c r="F102" s="55">
        <v>68</v>
      </c>
      <c r="G102" s="55">
        <v>8</v>
      </c>
      <c r="H102" s="55">
        <v>1</v>
      </c>
      <c r="I102" s="57">
        <v>0</v>
      </c>
      <c r="J102" s="55">
        <v>0.24</v>
      </c>
      <c r="K102" s="58" t="s">
        <v>91</v>
      </c>
    </row>
    <row r="103" spans="1:11">
      <c r="A103" s="59">
        <v>45666</v>
      </c>
      <c r="B103" s="49" t="s">
        <v>14</v>
      </c>
      <c r="C103" s="50">
        <v>67</v>
      </c>
      <c r="D103" s="49" t="s">
        <v>3</v>
      </c>
      <c r="E103" s="49" t="s">
        <v>0</v>
      </c>
      <c r="F103" s="49">
        <v>48</v>
      </c>
      <c r="G103" s="49">
        <v>2</v>
      </c>
      <c r="H103" s="49">
        <v>2</v>
      </c>
      <c r="I103" s="51">
        <v>0</v>
      </c>
      <c r="J103" s="49">
        <v>0.05</v>
      </c>
      <c r="K103" s="52"/>
    </row>
    <row r="104" spans="1:11">
      <c r="A104" s="59">
        <v>45666</v>
      </c>
      <c r="B104" s="49" t="s">
        <v>14</v>
      </c>
      <c r="C104" s="50">
        <v>67</v>
      </c>
      <c r="D104" s="49" t="s">
        <v>3</v>
      </c>
      <c r="E104" s="49" t="s">
        <v>1</v>
      </c>
      <c r="F104" s="49">
        <v>48</v>
      </c>
      <c r="G104" s="49">
        <v>2</v>
      </c>
      <c r="H104" s="49">
        <v>1</v>
      </c>
      <c r="I104" s="51">
        <v>0</v>
      </c>
      <c r="J104" s="49">
        <v>0.03</v>
      </c>
      <c r="K104" s="52" t="s">
        <v>118</v>
      </c>
    </row>
    <row r="105" spans="1:11">
      <c r="A105" s="54">
        <v>45666</v>
      </c>
      <c r="B105" s="55" t="s">
        <v>51</v>
      </c>
      <c r="C105" s="56">
        <v>60</v>
      </c>
      <c r="D105" s="55" t="s">
        <v>3</v>
      </c>
      <c r="E105" s="55" t="s">
        <v>0</v>
      </c>
      <c r="F105" s="55">
        <v>120</v>
      </c>
      <c r="G105" s="55">
        <v>3.6</v>
      </c>
      <c r="H105" s="55">
        <v>1</v>
      </c>
      <c r="I105" s="57">
        <v>0</v>
      </c>
      <c r="J105" s="55">
        <v>0.23</v>
      </c>
      <c r="K105" s="58"/>
    </row>
    <row r="106" spans="1:11">
      <c r="A106" s="54">
        <v>45666</v>
      </c>
      <c r="B106" s="55" t="s">
        <v>51</v>
      </c>
      <c r="C106" s="56">
        <v>60</v>
      </c>
      <c r="D106" s="55" t="s">
        <v>3</v>
      </c>
      <c r="E106" s="55" t="s">
        <v>1</v>
      </c>
      <c r="F106" s="55">
        <v>132</v>
      </c>
      <c r="G106" s="55">
        <v>5</v>
      </c>
      <c r="H106" s="55">
        <v>1</v>
      </c>
      <c r="I106" s="57">
        <v>0</v>
      </c>
      <c r="J106" s="55">
        <v>0.42</v>
      </c>
      <c r="K106" s="58" t="s">
        <v>119</v>
      </c>
    </row>
    <row r="107" spans="1:11">
      <c r="A107" s="59">
        <v>45666</v>
      </c>
      <c r="B107" s="49" t="s">
        <v>5</v>
      </c>
      <c r="C107" s="50">
        <v>60</v>
      </c>
      <c r="D107" s="49" t="s">
        <v>3</v>
      </c>
      <c r="E107" s="49" t="s">
        <v>0</v>
      </c>
      <c r="F107" s="49">
        <v>50</v>
      </c>
      <c r="G107" s="49">
        <v>3</v>
      </c>
      <c r="H107" s="49">
        <v>1</v>
      </c>
      <c r="I107" s="51">
        <v>0</v>
      </c>
      <c r="J107" s="49">
        <v>0.06</v>
      </c>
      <c r="K107" s="52"/>
    </row>
    <row r="108" spans="1:11">
      <c r="A108" s="59">
        <v>45666</v>
      </c>
      <c r="B108" s="49" t="s">
        <v>5</v>
      </c>
      <c r="C108" s="50">
        <v>60</v>
      </c>
      <c r="D108" s="49" t="s">
        <v>3</v>
      </c>
      <c r="E108" s="49" t="s">
        <v>1</v>
      </c>
      <c r="F108" s="49">
        <v>50</v>
      </c>
      <c r="G108" s="49">
        <v>3</v>
      </c>
      <c r="H108" s="49">
        <v>1</v>
      </c>
      <c r="I108" s="51">
        <v>0</v>
      </c>
      <c r="J108" s="49">
        <v>0.05</v>
      </c>
      <c r="K108" s="52" t="s">
        <v>80</v>
      </c>
    </row>
    <row r="109" spans="1:11">
      <c r="A109" s="54">
        <v>45666</v>
      </c>
      <c r="B109" s="55" t="s">
        <v>31</v>
      </c>
      <c r="C109" s="56">
        <v>60</v>
      </c>
      <c r="D109" s="55" t="s">
        <v>3</v>
      </c>
      <c r="E109" s="55" t="s">
        <v>0</v>
      </c>
      <c r="F109" s="55">
        <v>80</v>
      </c>
      <c r="G109" s="55">
        <v>65</v>
      </c>
      <c r="H109" s="55">
        <v>1</v>
      </c>
      <c r="I109" s="57">
        <v>0</v>
      </c>
      <c r="J109" s="55">
        <v>1.84</v>
      </c>
      <c r="K109" s="58"/>
    </row>
    <row r="110" spans="1:11">
      <c r="A110" s="54">
        <v>45666</v>
      </c>
      <c r="B110" s="55" t="s">
        <v>31</v>
      </c>
      <c r="C110" s="56">
        <v>60</v>
      </c>
      <c r="D110" s="55" t="s">
        <v>3</v>
      </c>
      <c r="E110" s="55" t="s">
        <v>1</v>
      </c>
      <c r="F110" s="55">
        <v>90</v>
      </c>
      <c r="G110" s="55">
        <v>70</v>
      </c>
      <c r="H110" s="55">
        <v>1</v>
      </c>
      <c r="I110" s="57">
        <v>0</v>
      </c>
      <c r="J110" s="55">
        <v>2.74</v>
      </c>
      <c r="K110" s="58" t="s">
        <v>120</v>
      </c>
    </row>
    <row r="111" spans="1:11">
      <c r="A111" s="59">
        <v>45666</v>
      </c>
      <c r="B111" s="49" t="s">
        <v>53</v>
      </c>
      <c r="C111" s="50">
        <v>60</v>
      </c>
      <c r="D111" s="49" t="s">
        <v>3</v>
      </c>
      <c r="E111" s="49" t="s">
        <v>0</v>
      </c>
      <c r="F111" s="49">
        <v>65</v>
      </c>
      <c r="G111" s="49">
        <v>40</v>
      </c>
      <c r="H111" s="49">
        <v>1</v>
      </c>
      <c r="I111" s="51">
        <v>0</v>
      </c>
      <c r="J111" s="49">
        <v>0.75</v>
      </c>
      <c r="K111" s="52"/>
    </row>
    <row r="112" spans="1:11">
      <c r="A112" s="59">
        <v>45666</v>
      </c>
      <c r="B112" s="49" t="s">
        <v>53</v>
      </c>
      <c r="C112" s="50">
        <v>60</v>
      </c>
      <c r="D112" s="49" t="s">
        <v>3</v>
      </c>
      <c r="E112" s="49" t="s">
        <v>1</v>
      </c>
      <c r="F112" s="49">
        <v>75</v>
      </c>
      <c r="G112" s="49">
        <v>50</v>
      </c>
      <c r="H112" s="49">
        <v>1</v>
      </c>
      <c r="I112" s="51">
        <v>0</v>
      </c>
      <c r="J112" s="49">
        <v>1.37</v>
      </c>
      <c r="K112" s="52" t="s">
        <v>121</v>
      </c>
    </row>
    <row r="113" spans="1:11">
      <c r="A113" s="54">
        <v>45666</v>
      </c>
      <c r="B113" s="55" t="s">
        <v>51</v>
      </c>
      <c r="C113" s="56">
        <v>70</v>
      </c>
      <c r="D113" s="55" t="s">
        <v>3</v>
      </c>
      <c r="E113" s="55" t="s">
        <v>0</v>
      </c>
      <c r="F113" s="55">
        <v>95</v>
      </c>
      <c r="G113" s="55">
        <v>2</v>
      </c>
      <c r="H113" s="55">
        <v>1</v>
      </c>
      <c r="I113" s="57">
        <v>0</v>
      </c>
      <c r="J113" s="55">
        <v>0.08</v>
      </c>
      <c r="K113" s="58"/>
    </row>
    <row r="114" spans="1:11">
      <c r="A114" s="54">
        <v>45666</v>
      </c>
      <c r="B114" s="55" t="s">
        <v>51</v>
      </c>
      <c r="C114" s="56">
        <v>70</v>
      </c>
      <c r="D114" s="55" t="s">
        <v>3</v>
      </c>
      <c r="E114" s="55" t="s">
        <v>1</v>
      </c>
      <c r="F114" s="55">
        <v>100</v>
      </c>
      <c r="G114" s="55">
        <v>3</v>
      </c>
      <c r="H114" s="55">
        <v>1</v>
      </c>
      <c r="I114" s="57">
        <v>0</v>
      </c>
      <c r="J114" s="55">
        <v>0.14000000000000001</v>
      </c>
      <c r="K114" s="58" t="s">
        <v>122</v>
      </c>
    </row>
    <row r="115" spans="1:11">
      <c r="A115" s="59">
        <v>45666</v>
      </c>
      <c r="B115" s="49" t="s">
        <v>51</v>
      </c>
      <c r="C115" s="50">
        <v>58</v>
      </c>
      <c r="D115" s="49" t="s">
        <v>3</v>
      </c>
      <c r="E115" s="49" t="s">
        <v>0</v>
      </c>
      <c r="F115" s="49">
        <v>100</v>
      </c>
      <c r="G115" s="49">
        <v>5</v>
      </c>
      <c r="H115" s="49">
        <v>1</v>
      </c>
      <c r="I115" s="51">
        <v>0</v>
      </c>
      <c r="J115" s="49">
        <v>0.22</v>
      </c>
      <c r="K115" s="52"/>
    </row>
    <row r="116" spans="1:11">
      <c r="A116" s="59">
        <v>45666</v>
      </c>
      <c r="B116" s="49" t="s">
        <v>51</v>
      </c>
      <c r="C116" s="50">
        <v>58</v>
      </c>
      <c r="D116" s="49" t="s">
        <v>3</v>
      </c>
      <c r="E116" s="49" t="s">
        <v>1</v>
      </c>
      <c r="F116" s="49">
        <v>100</v>
      </c>
      <c r="G116" s="49">
        <v>8</v>
      </c>
      <c r="H116" s="49">
        <v>1</v>
      </c>
      <c r="I116" s="51">
        <v>0</v>
      </c>
      <c r="J116" s="49">
        <v>0.39</v>
      </c>
      <c r="K116" s="52" t="s">
        <v>123</v>
      </c>
    </row>
    <row r="117" spans="1:11">
      <c r="A117" s="54">
        <v>45667</v>
      </c>
      <c r="B117" s="55" t="s">
        <v>51</v>
      </c>
      <c r="C117" s="56">
        <v>55</v>
      </c>
      <c r="D117" s="55" t="s">
        <v>3</v>
      </c>
      <c r="E117" s="55" t="s">
        <v>0</v>
      </c>
      <c r="F117" s="55">
        <v>92</v>
      </c>
      <c r="G117" s="55">
        <v>3.2</v>
      </c>
      <c r="H117" s="55">
        <v>1</v>
      </c>
      <c r="I117" s="57">
        <v>0</v>
      </c>
      <c r="J117" s="55">
        <v>0.12</v>
      </c>
      <c r="K117" s="58"/>
    </row>
    <row r="118" spans="1:11">
      <c r="A118" s="54">
        <v>45667</v>
      </c>
      <c r="B118" s="55" t="s">
        <v>51</v>
      </c>
      <c r="C118" s="56">
        <v>55</v>
      </c>
      <c r="D118" s="55" t="s">
        <v>3</v>
      </c>
      <c r="E118" s="55" t="s">
        <v>1</v>
      </c>
      <c r="F118" s="55">
        <v>92</v>
      </c>
      <c r="G118" s="55">
        <v>6.4</v>
      </c>
      <c r="H118" s="55">
        <v>1</v>
      </c>
      <c r="I118" s="57">
        <v>0</v>
      </c>
      <c r="J118" s="55">
        <v>0.26</v>
      </c>
      <c r="K118" s="58" t="s">
        <v>124</v>
      </c>
    </row>
    <row r="119" spans="1:11">
      <c r="A119" s="59">
        <v>45667</v>
      </c>
      <c r="B119" s="49" t="s">
        <v>51</v>
      </c>
      <c r="C119" s="50">
        <v>50</v>
      </c>
      <c r="D119" s="49" t="s">
        <v>3</v>
      </c>
      <c r="E119" s="49" t="s">
        <v>0</v>
      </c>
      <c r="F119" s="49">
        <v>92</v>
      </c>
      <c r="G119" s="49">
        <v>3.2</v>
      </c>
      <c r="H119" s="49">
        <v>1</v>
      </c>
      <c r="I119" s="51">
        <v>0</v>
      </c>
      <c r="J119" s="49">
        <v>0.12</v>
      </c>
      <c r="K119" s="52"/>
    </row>
    <row r="120" spans="1:11">
      <c r="A120" s="59">
        <v>45667</v>
      </c>
      <c r="B120" s="49" t="s">
        <v>51</v>
      </c>
      <c r="C120" s="50">
        <v>50</v>
      </c>
      <c r="D120" s="49" t="s">
        <v>3</v>
      </c>
      <c r="E120" s="49" t="s">
        <v>1</v>
      </c>
      <c r="F120" s="49">
        <v>92</v>
      </c>
      <c r="G120" s="49">
        <v>6.4</v>
      </c>
      <c r="H120" s="49">
        <v>1</v>
      </c>
      <c r="I120" s="51">
        <v>0</v>
      </c>
      <c r="J120" s="49">
        <v>0.26</v>
      </c>
      <c r="K120" s="52" t="s">
        <v>124</v>
      </c>
    </row>
    <row r="121" spans="1:11">
      <c r="A121" s="54">
        <v>45667</v>
      </c>
      <c r="B121" s="55" t="s">
        <v>53</v>
      </c>
      <c r="C121" s="56">
        <v>60</v>
      </c>
      <c r="D121" s="55" t="s">
        <v>3</v>
      </c>
      <c r="E121" s="55" t="s">
        <v>0</v>
      </c>
      <c r="F121" s="55">
        <v>40</v>
      </c>
      <c r="G121" s="55">
        <v>25</v>
      </c>
      <c r="H121" s="55">
        <v>2</v>
      </c>
      <c r="I121" s="57">
        <v>0</v>
      </c>
      <c r="J121" s="55">
        <v>0.36</v>
      </c>
      <c r="K121" s="58"/>
    </row>
    <row r="122" spans="1:11">
      <c r="A122" s="54">
        <v>45667</v>
      </c>
      <c r="B122" s="55" t="s">
        <v>53</v>
      </c>
      <c r="C122" s="56">
        <v>60</v>
      </c>
      <c r="D122" s="55" t="s">
        <v>3</v>
      </c>
      <c r="E122" s="55" t="s">
        <v>1</v>
      </c>
      <c r="F122" s="55">
        <v>45</v>
      </c>
      <c r="G122" s="55">
        <v>32</v>
      </c>
      <c r="H122" s="55">
        <v>2</v>
      </c>
      <c r="I122" s="57">
        <v>0</v>
      </c>
      <c r="J122" s="55">
        <v>0.64</v>
      </c>
      <c r="K122" s="58" t="s">
        <v>125</v>
      </c>
    </row>
    <row r="123" spans="1:11">
      <c r="A123" s="59">
        <v>45667</v>
      </c>
      <c r="B123" s="49" t="s">
        <v>17</v>
      </c>
      <c r="C123" s="50">
        <v>60</v>
      </c>
      <c r="D123" s="49" t="s">
        <v>3</v>
      </c>
      <c r="E123" s="49" t="s">
        <v>0</v>
      </c>
      <c r="F123" s="49">
        <v>45</v>
      </c>
      <c r="G123" s="49">
        <v>3</v>
      </c>
      <c r="H123" s="49">
        <v>2</v>
      </c>
      <c r="I123" s="51">
        <v>0</v>
      </c>
      <c r="J123" s="49">
        <v>7.0000000000000007E-2</v>
      </c>
      <c r="K123" s="52"/>
    </row>
    <row r="124" spans="1:11">
      <c r="A124" s="59">
        <v>45667</v>
      </c>
      <c r="B124" s="49" t="s">
        <v>17</v>
      </c>
      <c r="C124" s="50">
        <v>60</v>
      </c>
      <c r="D124" s="49" t="s">
        <v>3</v>
      </c>
      <c r="E124" s="49" t="s">
        <v>1</v>
      </c>
      <c r="F124" s="49">
        <v>45</v>
      </c>
      <c r="G124" s="49">
        <v>3</v>
      </c>
      <c r="H124" s="49">
        <v>1</v>
      </c>
      <c r="I124" s="51">
        <v>0</v>
      </c>
      <c r="J124" s="49">
        <v>0.04</v>
      </c>
      <c r="K124" s="52" t="s">
        <v>80</v>
      </c>
    </row>
    <row r="125" spans="1:11">
      <c r="A125" s="54">
        <v>45667</v>
      </c>
      <c r="B125" s="55" t="s">
        <v>54</v>
      </c>
      <c r="C125" s="56">
        <v>55</v>
      </c>
      <c r="D125" s="55" t="s">
        <v>3</v>
      </c>
      <c r="E125" s="55" t="s">
        <v>0</v>
      </c>
      <c r="F125" s="55">
        <v>45</v>
      </c>
      <c r="G125" s="55">
        <v>20</v>
      </c>
      <c r="H125" s="55">
        <v>3</v>
      </c>
      <c r="I125" s="57">
        <v>0</v>
      </c>
      <c r="J125" s="55">
        <v>0.54</v>
      </c>
      <c r="K125" s="58"/>
    </row>
    <row r="126" spans="1:11">
      <c r="A126" s="54">
        <v>45667</v>
      </c>
      <c r="B126" s="55" t="s">
        <v>54</v>
      </c>
      <c r="C126" s="56">
        <v>55</v>
      </c>
      <c r="D126" s="55" t="s">
        <v>3</v>
      </c>
      <c r="E126" s="55" t="s">
        <v>1</v>
      </c>
      <c r="F126" s="55">
        <v>70</v>
      </c>
      <c r="G126" s="55">
        <v>32</v>
      </c>
      <c r="H126" s="55">
        <v>3</v>
      </c>
      <c r="I126" s="57">
        <v>0</v>
      </c>
      <c r="J126" s="55">
        <v>2.29</v>
      </c>
      <c r="K126" s="58" t="s">
        <v>126</v>
      </c>
    </row>
    <row r="127" spans="1:11">
      <c r="A127" s="59">
        <v>45667</v>
      </c>
      <c r="B127" s="49" t="s">
        <v>51</v>
      </c>
      <c r="C127" s="50">
        <v>55</v>
      </c>
      <c r="D127" s="49" t="s">
        <v>3</v>
      </c>
      <c r="E127" s="49" t="s">
        <v>0</v>
      </c>
      <c r="F127" s="49">
        <v>95</v>
      </c>
      <c r="G127" s="49">
        <v>2</v>
      </c>
      <c r="H127" s="49">
        <v>1</v>
      </c>
      <c r="I127" s="51">
        <v>0</v>
      </c>
      <c r="J127" s="49">
        <v>0.08</v>
      </c>
      <c r="K127" s="52"/>
    </row>
    <row r="128" spans="1:11">
      <c r="A128" s="59">
        <v>45667</v>
      </c>
      <c r="B128" s="49" t="s">
        <v>51</v>
      </c>
      <c r="C128" s="50">
        <v>55</v>
      </c>
      <c r="D128" s="49" t="s">
        <v>3</v>
      </c>
      <c r="E128" s="49" t="s">
        <v>1</v>
      </c>
      <c r="F128" s="49">
        <v>95</v>
      </c>
      <c r="G128" s="49">
        <v>3</v>
      </c>
      <c r="H128" s="49">
        <v>1</v>
      </c>
      <c r="I128" s="51">
        <v>0</v>
      </c>
      <c r="J128" s="49">
        <v>0.13</v>
      </c>
      <c r="K128" s="52" t="s">
        <v>127</v>
      </c>
    </row>
    <row r="129" spans="1:11">
      <c r="A129" s="54">
        <v>45667</v>
      </c>
      <c r="B129" s="55" t="s">
        <v>39</v>
      </c>
      <c r="C129" s="56">
        <v>55</v>
      </c>
      <c r="D129" s="55" t="s">
        <v>3</v>
      </c>
      <c r="E129" s="55" t="s">
        <v>0</v>
      </c>
      <c r="F129" s="55">
        <v>50</v>
      </c>
      <c r="G129" s="55">
        <v>3.5</v>
      </c>
      <c r="H129" s="55">
        <v>2</v>
      </c>
      <c r="I129" s="57">
        <v>0</v>
      </c>
      <c r="J129" s="55">
        <v>0.11</v>
      </c>
      <c r="K129" s="58"/>
    </row>
    <row r="130" spans="1:11">
      <c r="A130" s="54">
        <v>45667</v>
      </c>
      <c r="B130" s="55" t="s">
        <v>39</v>
      </c>
      <c r="C130" s="56">
        <v>55</v>
      </c>
      <c r="D130" s="55" t="s">
        <v>3</v>
      </c>
      <c r="E130" s="55" t="s">
        <v>1</v>
      </c>
      <c r="F130" s="55">
        <v>50</v>
      </c>
      <c r="G130" s="55">
        <v>3.5</v>
      </c>
      <c r="H130" s="55">
        <v>1</v>
      </c>
      <c r="I130" s="57">
        <v>0</v>
      </c>
      <c r="J130" s="55">
        <v>0.06</v>
      </c>
      <c r="K130" s="58" t="s">
        <v>75</v>
      </c>
    </row>
    <row r="131" spans="1:11">
      <c r="A131" s="59">
        <v>45667</v>
      </c>
      <c r="B131" s="49" t="s">
        <v>31</v>
      </c>
      <c r="C131" s="50">
        <v>90</v>
      </c>
      <c r="D131" s="49" t="s">
        <v>3</v>
      </c>
      <c r="E131" s="49" t="s">
        <v>0</v>
      </c>
      <c r="F131" s="49">
        <v>80</v>
      </c>
      <c r="G131" s="49">
        <v>45</v>
      </c>
      <c r="H131" s="49">
        <v>1</v>
      </c>
      <c r="I131" s="51">
        <v>0</v>
      </c>
      <c r="J131" s="49">
        <v>1.27</v>
      </c>
      <c r="K131" s="52"/>
    </row>
    <row r="132" spans="1:11">
      <c r="A132" s="59">
        <v>45667</v>
      </c>
      <c r="B132" s="49" t="s">
        <v>31</v>
      </c>
      <c r="C132" s="50">
        <v>90</v>
      </c>
      <c r="D132" s="49" t="s">
        <v>3</v>
      </c>
      <c r="E132" s="49" t="s">
        <v>1</v>
      </c>
      <c r="F132" s="49">
        <v>95</v>
      </c>
      <c r="G132" s="49">
        <v>55</v>
      </c>
      <c r="H132" s="49">
        <v>2</v>
      </c>
      <c r="I132" s="51">
        <v>0</v>
      </c>
      <c r="J132" s="49">
        <v>4.8</v>
      </c>
      <c r="K132" s="52" t="s">
        <v>128</v>
      </c>
    </row>
    <row r="133" spans="1:11">
      <c r="A133" s="54">
        <v>45667</v>
      </c>
      <c r="B133" s="55" t="s">
        <v>30</v>
      </c>
      <c r="C133" s="56">
        <v>70</v>
      </c>
      <c r="D133" s="55" t="s">
        <v>3</v>
      </c>
      <c r="E133" s="55" t="s">
        <v>0</v>
      </c>
      <c r="F133" s="55">
        <v>50</v>
      </c>
      <c r="G133" s="55">
        <v>3</v>
      </c>
      <c r="H133" s="55">
        <v>1</v>
      </c>
      <c r="I133" s="57">
        <v>0</v>
      </c>
      <c r="J133" s="55">
        <v>0.06</v>
      </c>
      <c r="K133" s="58"/>
    </row>
    <row r="134" spans="1:11">
      <c r="A134" s="54">
        <v>45667</v>
      </c>
      <c r="B134" s="55" t="s">
        <v>30</v>
      </c>
      <c r="C134" s="56">
        <v>70</v>
      </c>
      <c r="D134" s="55" t="s">
        <v>3</v>
      </c>
      <c r="E134" s="55" t="s">
        <v>1</v>
      </c>
      <c r="F134" s="55">
        <v>50</v>
      </c>
      <c r="G134" s="55">
        <v>3</v>
      </c>
      <c r="H134" s="55">
        <v>2</v>
      </c>
      <c r="I134" s="57">
        <v>0</v>
      </c>
      <c r="J134" s="55">
        <v>0.11</v>
      </c>
      <c r="K134" s="58" t="s">
        <v>75</v>
      </c>
    </row>
    <row r="135" spans="1:11">
      <c r="A135" s="59">
        <v>45667</v>
      </c>
      <c r="B135" s="49" t="s">
        <v>43</v>
      </c>
      <c r="C135" s="50">
        <v>55</v>
      </c>
      <c r="D135" s="49" t="s">
        <v>3</v>
      </c>
      <c r="E135" s="49" t="s">
        <v>0</v>
      </c>
      <c r="F135" s="49">
        <v>50</v>
      </c>
      <c r="G135" s="49">
        <v>20</v>
      </c>
      <c r="H135" s="49">
        <v>1</v>
      </c>
      <c r="I135" s="51">
        <v>0</v>
      </c>
      <c r="J135" s="49">
        <v>0.59</v>
      </c>
      <c r="K135" s="52"/>
    </row>
    <row r="136" spans="1:11">
      <c r="A136" s="59">
        <v>45667</v>
      </c>
      <c r="B136" s="49" t="s">
        <v>43</v>
      </c>
      <c r="C136" s="50">
        <v>55</v>
      </c>
      <c r="D136" s="49" t="s">
        <v>3</v>
      </c>
      <c r="E136" s="49" t="s">
        <v>1</v>
      </c>
      <c r="F136" s="49">
        <v>50</v>
      </c>
      <c r="G136" s="49">
        <v>20</v>
      </c>
      <c r="H136" s="49">
        <v>2</v>
      </c>
      <c r="I136" s="51">
        <v>0</v>
      </c>
      <c r="J136" s="49">
        <v>1.37</v>
      </c>
      <c r="K136" s="52" t="s">
        <v>129</v>
      </c>
    </row>
    <row r="137" spans="1:11">
      <c r="A137" s="54">
        <v>45667</v>
      </c>
      <c r="B137" s="55" t="s">
        <v>23</v>
      </c>
      <c r="C137" s="56">
        <v>65</v>
      </c>
      <c r="D137" s="55" t="s">
        <v>3</v>
      </c>
      <c r="E137" s="55" t="s">
        <v>0</v>
      </c>
      <c r="F137" s="55">
        <v>60</v>
      </c>
      <c r="G137" s="55">
        <v>20</v>
      </c>
      <c r="H137" s="55">
        <v>3</v>
      </c>
      <c r="I137" s="57">
        <v>0</v>
      </c>
      <c r="J137" s="55">
        <v>1.41</v>
      </c>
      <c r="K137" s="58"/>
    </row>
    <row r="138" spans="1:11">
      <c r="A138" s="54">
        <v>45667</v>
      </c>
      <c r="B138" s="55" t="s">
        <v>23</v>
      </c>
      <c r="C138" s="56">
        <v>65</v>
      </c>
      <c r="D138" s="55" t="s">
        <v>3</v>
      </c>
      <c r="E138" s="55" t="s">
        <v>1</v>
      </c>
      <c r="F138" s="55">
        <v>60</v>
      </c>
      <c r="G138" s="55">
        <v>20</v>
      </c>
      <c r="H138" s="55">
        <v>1</v>
      </c>
      <c r="I138" s="57">
        <v>0</v>
      </c>
      <c r="J138" s="55">
        <v>0.47</v>
      </c>
      <c r="K138" s="58" t="s">
        <v>130</v>
      </c>
    </row>
    <row r="139" spans="1:11">
      <c r="A139" s="59">
        <v>45667</v>
      </c>
      <c r="B139" s="49" t="s">
        <v>51</v>
      </c>
      <c r="C139" s="50">
        <v>65</v>
      </c>
      <c r="D139" s="49" t="s">
        <v>3</v>
      </c>
      <c r="E139" s="49" t="s">
        <v>0</v>
      </c>
      <c r="F139" s="49">
        <v>95</v>
      </c>
      <c r="G139" s="49">
        <v>2</v>
      </c>
      <c r="H139" s="49">
        <v>1</v>
      </c>
      <c r="I139" s="51">
        <v>0</v>
      </c>
      <c r="J139" s="49">
        <v>0.08</v>
      </c>
      <c r="K139" s="52"/>
    </row>
    <row r="140" spans="1:11">
      <c r="A140" s="59">
        <v>45667</v>
      </c>
      <c r="B140" s="49" t="s">
        <v>51</v>
      </c>
      <c r="C140" s="50">
        <v>65</v>
      </c>
      <c r="D140" s="49" t="s">
        <v>3</v>
      </c>
      <c r="E140" s="49" t="s">
        <v>1</v>
      </c>
      <c r="F140" s="49">
        <v>100</v>
      </c>
      <c r="G140" s="49">
        <v>3</v>
      </c>
      <c r="H140" s="49">
        <v>1</v>
      </c>
      <c r="I140" s="51">
        <v>0</v>
      </c>
      <c r="J140" s="49">
        <v>0.14000000000000001</v>
      </c>
      <c r="K140" s="52" t="s">
        <v>122</v>
      </c>
    </row>
    <row r="141" spans="1:11">
      <c r="A141" s="54">
        <v>45667</v>
      </c>
      <c r="B141" s="55" t="s">
        <v>17</v>
      </c>
      <c r="C141" s="56">
        <v>65</v>
      </c>
      <c r="D141" s="55" t="s">
        <v>3</v>
      </c>
      <c r="E141" s="55" t="s">
        <v>0</v>
      </c>
      <c r="F141" s="55">
        <v>40</v>
      </c>
      <c r="G141" s="55">
        <v>2.2999999999999998</v>
      </c>
      <c r="H141" s="55">
        <v>2</v>
      </c>
      <c r="I141" s="57">
        <v>0</v>
      </c>
      <c r="J141" s="55">
        <v>0.05</v>
      </c>
      <c r="K141" s="58"/>
    </row>
    <row r="142" spans="1:11">
      <c r="A142" s="54">
        <v>45667</v>
      </c>
      <c r="B142" s="55" t="s">
        <v>17</v>
      </c>
      <c r="C142" s="56">
        <v>65</v>
      </c>
      <c r="D142" s="55" t="s">
        <v>3</v>
      </c>
      <c r="E142" s="55" t="s">
        <v>1</v>
      </c>
      <c r="F142" s="55">
        <v>45</v>
      </c>
      <c r="G142" s="55">
        <v>2.2999999999999998</v>
      </c>
      <c r="H142" s="55">
        <v>1</v>
      </c>
      <c r="I142" s="57">
        <v>0</v>
      </c>
      <c r="J142" s="55">
        <v>0.03</v>
      </c>
      <c r="K142" s="58" t="s">
        <v>118</v>
      </c>
    </row>
    <row r="143" spans="1:11">
      <c r="A143" s="59">
        <v>45667</v>
      </c>
      <c r="B143" s="49" t="s">
        <v>51</v>
      </c>
      <c r="C143" s="50">
        <v>75</v>
      </c>
      <c r="D143" s="49" t="s">
        <v>3</v>
      </c>
      <c r="E143" s="49" t="s">
        <v>0</v>
      </c>
      <c r="F143" s="49">
        <v>100</v>
      </c>
      <c r="G143" s="49">
        <v>2</v>
      </c>
      <c r="H143" s="49">
        <v>1</v>
      </c>
      <c r="I143" s="51">
        <v>0</v>
      </c>
      <c r="J143" s="49">
        <v>0.09</v>
      </c>
      <c r="K143" s="52"/>
    </row>
    <row r="144" spans="1:11">
      <c r="A144" s="59">
        <v>45667</v>
      </c>
      <c r="B144" s="49" t="s">
        <v>51</v>
      </c>
      <c r="C144" s="50">
        <v>75</v>
      </c>
      <c r="D144" s="49" t="s">
        <v>3</v>
      </c>
      <c r="E144" s="49" t="s">
        <v>1</v>
      </c>
      <c r="F144" s="49">
        <v>105</v>
      </c>
      <c r="G144" s="49">
        <v>3</v>
      </c>
      <c r="H144" s="49">
        <v>1</v>
      </c>
      <c r="I144" s="51">
        <v>0</v>
      </c>
      <c r="J144" s="49">
        <v>0.16</v>
      </c>
      <c r="K144" s="52" t="s">
        <v>131</v>
      </c>
    </row>
    <row r="145" spans="1:11">
      <c r="A145" s="54">
        <v>45667</v>
      </c>
      <c r="B145" s="55" t="s">
        <v>43</v>
      </c>
      <c r="C145" s="56">
        <v>65</v>
      </c>
      <c r="D145" s="55" t="s">
        <v>3</v>
      </c>
      <c r="E145" s="55" t="s">
        <v>0</v>
      </c>
      <c r="F145" s="55">
        <v>50</v>
      </c>
      <c r="G145" s="55">
        <v>22</v>
      </c>
      <c r="H145" s="55">
        <v>1</v>
      </c>
      <c r="I145" s="57">
        <v>0</v>
      </c>
      <c r="J145" s="55">
        <v>0.65</v>
      </c>
      <c r="K145" s="58"/>
    </row>
    <row r="146" spans="1:11">
      <c r="A146" s="54">
        <v>45667</v>
      </c>
      <c r="B146" s="55" t="s">
        <v>43</v>
      </c>
      <c r="C146" s="56">
        <v>65</v>
      </c>
      <c r="D146" s="55" t="s">
        <v>3</v>
      </c>
      <c r="E146" s="55" t="s">
        <v>1</v>
      </c>
      <c r="F146" s="55">
        <v>50</v>
      </c>
      <c r="G146" s="55">
        <v>22</v>
      </c>
      <c r="H146" s="55">
        <v>2</v>
      </c>
      <c r="I146" s="57">
        <v>0</v>
      </c>
      <c r="J146" s="55">
        <v>1.51</v>
      </c>
      <c r="K146" s="58" t="s">
        <v>132</v>
      </c>
    </row>
    <row r="147" spans="1:11">
      <c r="A147" s="59">
        <v>45667</v>
      </c>
      <c r="B147" s="49" t="s">
        <v>7</v>
      </c>
      <c r="C147" s="50">
        <v>65</v>
      </c>
      <c r="D147" s="49" t="s">
        <v>3</v>
      </c>
      <c r="E147" s="49" t="s">
        <v>0</v>
      </c>
      <c r="F147" s="49">
        <v>70</v>
      </c>
      <c r="G147" s="49">
        <v>20</v>
      </c>
      <c r="H147" s="49">
        <v>2</v>
      </c>
      <c r="I147" s="51">
        <v>0</v>
      </c>
      <c r="J147" s="49">
        <v>1.57</v>
      </c>
      <c r="K147" s="52"/>
    </row>
    <row r="148" spans="1:11">
      <c r="A148" s="59">
        <v>45667</v>
      </c>
      <c r="B148" s="49" t="s">
        <v>7</v>
      </c>
      <c r="C148" s="50">
        <v>65</v>
      </c>
      <c r="D148" s="49" t="s">
        <v>3</v>
      </c>
      <c r="E148" s="49" t="s">
        <v>1</v>
      </c>
      <c r="F148" s="49">
        <v>70</v>
      </c>
      <c r="G148" s="49">
        <v>20</v>
      </c>
      <c r="H148" s="49">
        <v>3</v>
      </c>
      <c r="I148" s="51">
        <v>0</v>
      </c>
      <c r="J148" s="49">
        <v>2.0699999999999998</v>
      </c>
      <c r="K148" s="52" t="s">
        <v>133</v>
      </c>
    </row>
    <row r="149" spans="1:11">
      <c r="A149" s="54">
        <v>45667</v>
      </c>
      <c r="B149" s="55" t="s">
        <v>51</v>
      </c>
      <c r="C149" s="56">
        <v>65</v>
      </c>
      <c r="D149" s="55" t="s">
        <v>3</v>
      </c>
      <c r="E149" s="55" t="s">
        <v>0</v>
      </c>
      <c r="F149" s="55">
        <v>95</v>
      </c>
      <c r="G149" s="55">
        <v>2</v>
      </c>
      <c r="H149" s="55">
        <v>1</v>
      </c>
      <c r="I149" s="57">
        <v>0</v>
      </c>
      <c r="J149" s="55">
        <v>0.08</v>
      </c>
      <c r="K149" s="58"/>
    </row>
    <row r="150" spans="1:11">
      <c r="A150" s="54">
        <v>45667</v>
      </c>
      <c r="B150" s="55" t="s">
        <v>51</v>
      </c>
      <c r="C150" s="56">
        <v>65</v>
      </c>
      <c r="D150" s="55" t="s">
        <v>3</v>
      </c>
      <c r="E150" s="55" t="s">
        <v>1</v>
      </c>
      <c r="F150" s="55">
        <v>100</v>
      </c>
      <c r="G150" s="55">
        <v>3</v>
      </c>
      <c r="H150" s="55">
        <v>1</v>
      </c>
      <c r="I150" s="57">
        <v>0</v>
      </c>
      <c r="J150" s="55">
        <v>0.14000000000000001</v>
      </c>
      <c r="K150" s="58" t="s">
        <v>122</v>
      </c>
    </row>
    <row r="151" spans="1:11">
      <c r="A151" s="59">
        <v>45667</v>
      </c>
      <c r="B151" s="49" t="s">
        <v>10</v>
      </c>
      <c r="C151" s="50">
        <v>55</v>
      </c>
      <c r="D151" s="49" t="s">
        <v>3</v>
      </c>
      <c r="E151" s="49" t="s">
        <v>0</v>
      </c>
      <c r="F151" s="49">
        <v>70</v>
      </c>
      <c r="G151" s="49">
        <v>20</v>
      </c>
      <c r="H151" s="49">
        <v>1</v>
      </c>
      <c r="I151" s="51">
        <v>0</v>
      </c>
      <c r="J151" s="49">
        <v>1.1499999999999999</v>
      </c>
      <c r="K151" s="52" t="s">
        <v>134</v>
      </c>
    </row>
    <row r="152" spans="1:11">
      <c r="A152" s="54">
        <v>45667</v>
      </c>
      <c r="B152" s="55" t="s">
        <v>51</v>
      </c>
      <c r="C152" s="56">
        <v>85</v>
      </c>
      <c r="D152" s="55" t="s">
        <v>3</v>
      </c>
      <c r="E152" s="55" t="s">
        <v>0</v>
      </c>
      <c r="F152" s="55">
        <v>100</v>
      </c>
      <c r="G152" s="55">
        <v>3</v>
      </c>
      <c r="H152" s="55">
        <v>1</v>
      </c>
      <c r="I152" s="57">
        <v>0</v>
      </c>
      <c r="J152" s="55">
        <v>0.13</v>
      </c>
      <c r="K152" s="58"/>
    </row>
    <row r="153" spans="1:11">
      <c r="A153" s="54">
        <v>45667</v>
      </c>
      <c r="B153" s="55" t="s">
        <v>51</v>
      </c>
      <c r="C153" s="56">
        <v>85</v>
      </c>
      <c r="D153" s="55" t="s">
        <v>3</v>
      </c>
      <c r="E153" s="55" t="s">
        <v>1</v>
      </c>
      <c r="F153" s="55">
        <v>105</v>
      </c>
      <c r="G153" s="55">
        <v>4</v>
      </c>
      <c r="H153" s="55">
        <v>1</v>
      </c>
      <c r="I153" s="57">
        <v>0</v>
      </c>
      <c r="J153" s="55">
        <v>0.21</v>
      </c>
      <c r="K153" s="58" t="s">
        <v>135</v>
      </c>
    </row>
    <row r="154" spans="1:11">
      <c r="A154" s="59">
        <v>45667</v>
      </c>
      <c r="B154" s="49" t="s">
        <v>51</v>
      </c>
      <c r="C154" s="50">
        <v>70</v>
      </c>
      <c r="D154" s="49" t="s">
        <v>3</v>
      </c>
      <c r="E154" s="49" t="s">
        <v>0</v>
      </c>
      <c r="F154" s="49">
        <v>95</v>
      </c>
      <c r="G154" s="49">
        <v>2</v>
      </c>
      <c r="H154" s="49">
        <v>1</v>
      </c>
      <c r="I154" s="51">
        <v>0</v>
      </c>
      <c r="J154" s="49">
        <v>0.08</v>
      </c>
      <c r="K154" s="52"/>
    </row>
    <row r="155" spans="1:11">
      <c r="A155" s="59">
        <v>45667</v>
      </c>
      <c r="B155" s="49" t="s">
        <v>51</v>
      </c>
      <c r="C155" s="50">
        <v>70</v>
      </c>
      <c r="D155" s="49" t="s">
        <v>3</v>
      </c>
      <c r="E155" s="49" t="s">
        <v>1</v>
      </c>
      <c r="F155" s="49">
        <v>100</v>
      </c>
      <c r="G155" s="49">
        <v>3</v>
      </c>
      <c r="H155" s="49">
        <v>1</v>
      </c>
      <c r="I155" s="51">
        <v>0</v>
      </c>
      <c r="J155" s="49">
        <v>0.14000000000000001</v>
      </c>
      <c r="K155" s="52" t="s">
        <v>122</v>
      </c>
    </row>
    <row r="156" spans="1:11">
      <c r="A156" s="54">
        <v>45667</v>
      </c>
      <c r="B156" s="55" t="s">
        <v>5</v>
      </c>
      <c r="C156" s="56">
        <v>70</v>
      </c>
      <c r="D156" s="55" t="s">
        <v>3</v>
      </c>
      <c r="E156" s="55" t="s">
        <v>0</v>
      </c>
      <c r="F156" s="55">
        <v>50</v>
      </c>
      <c r="G156" s="55">
        <v>15</v>
      </c>
      <c r="H156" s="55">
        <v>1</v>
      </c>
      <c r="I156" s="57">
        <v>0</v>
      </c>
      <c r="J156" s="55">
        <v>0.28000000000000003</v>
      </c>
      <c r="K156" s="58"/>
    </row>
    <row r="157" spans="1:11">
      <c r="A157" s="54">
        <v>45667</v>
      </c>
      <c r="B157" s="55" t="s">
        <v>5</v>
      </c>
      <c r="C157" s="56">
        <v>70</v>
      </c>
      <c r="D157" s="55" t="s">
        <v>3</v>
      </c>
      <c r="E157" s="55" t="s">
        <v>1</v>
      </c>
      <c r="F157" s="55">
        <v>50</v>
      </c>
      <c r="G157" s="55">
        <v>15</v>
      </c>
      <c r="H157" s="55">
        <v>1</v>
      </c>
      <c r="I157" s="57">
        <v>0</v>
      </c>
      <c r="J157" s="55">
        <v>0.27</v>
      </c>
      <c r="K157" s="58" t="s">
        <v>136</v>
      </c>
    </row>
    <row r="158" spans="1:11">
      <c r="A158" s="59">
        <v>45667</v>
      </c>
      <c r="B158" s="49" t="s">
        <v>30</v>
      </c>
      <c r="C158" s="50">
        <v>70</v>
      </c>
      <c r="D158" s="49" t="s">
        <v>3</v>
      </c>
      <c r="E158" s="49" t="s">
        <v>0</v>
      </c>
      <c r="F158" s="49">
        <v>50</v>
      </c>
      <c r="G158" s="49">
        <v>8</v>
      </c>
      <c r="H158" s="49">
        <v>1</v>
      </c>
      <c r="I158" s="51">
        <v>0</v>
      </c>
      <c r="J158" s="49">
        <v>0.15</v>
      </c>
      <c r="K158" s="52"/>
    </row>
    <row r="159" spans="1:11">
      <c r="A159" s="59">
        <v>45667</v>
      </c>
      <c r="B159" s="49" t="s">
        <v>30</v>
      </c>
      <c r="C159" s="50">
        <v>70</v>
      </c>
      <c r="D159" s="49" t="s">
        <v>3</v>
      </c>
      <c r="E159" s="49" t="s">
        <v>1</v>
      </c>
      <c r="F159" s="49">
        <v>50</v>
      </c>
      <c r="G159" s="49">
        <v>8</v>
      </c>
      <c r="H159" s="49">
        <v>1</v>
      </c>
      <c r="I159" s="51">
        <v>0</v>
      </c>
      <c r="J159" s="49">
        <v>0.14000000000000001</v>
      </c>
      <c r="K159" s="52" t="s">
        <v>137</v>
      </c>
    </row>
    <row r="160" spans="1:11">
      <c r="A160" s="54">
        <v>45667</v>
      </c>
      <c r="B160" s="55" t="s">
        <v>29</v>
      </c>
      <c r="C160" s="56">
        <v>70</v>
      </c>
      <c r="D160" s="55" t="s">
        <v>3</v>
      </c>
      <c r="E160" s="55" t="s">
        <v>0</v>
      </c>
      <c r="F160" s="55">
        <v>60</v>
      </c>
      <c r="G160" s="55">
        <v>8</v>
      </c>
      <c r="H160" s="55">
        <v>1</v>
      </c>
      <c r="I160" s="57">
        <v>0</v>
      </c>
      <c r="J160" s="55">
        <v>0.21</v>
      </c>
      <c r="K160" s="58"/>
    </row>
    <row r="161" spans="1:11">
      <c r="A161" s="54">
        <v>45667</v>
      </c>
      <c r="B161" s="55" t="s">
        <v>29</v>
      </c>
      <c r="C161" s="56">
        <v>70</v>
      </c>
      <c r="D161" s="55" t="s">
        <v>3</v>
      </c>
      <c r="E161" s="55" t="s">
        <v>1</v>
      </c>
      <c r="F161" s="55">
        <v>60</v>
      </c>
      <c r="G161" s="55">
        <v>8</v>
      </c>
      <c r="H161" s="55">
        <v>1</v>
      </c>
      <c r="I161" s="57">
        <v>0</v>
      </c>
      <c r="J161" s="55">
        <v>0.2</v>
      </c>
      <c r="K161" s="58" t="s">
        <v>97</v>
      </c>
    </row>
    <row r="162" spans="1:11">
      <c r="A162" s="59">
        <v>45667</v>
      </c>
      <c r="B162" s="49" t="s">
        <v>30</v>
      </c>
      <c r="C162" s="50">
        <v>70</v>
      </c>
      <c r="D162" s="49" t="s">
        <v>3</v>
      </c>
      <c r="E162" s="49" t="s">
        <v>0</v>
      </c>
      <c r="F162" s="49">
        <v>50</v>
      </c>
      <c r="G162" s="49">
        <v>8</v>
      </c>
      <c r="H162" s="49">
        <v>1</v>
      </c>
      <c r="I162" s="51">
        <v>0</v>
      </c>
      <c r="J162" s="49">
        <v>0.15</v>
      </c>
      <c r="K162" s="52"/>
    </row>
    <row r="163" spans="1:11">
      <c r="A163" s="59">
        <v>45667</v>
      </c>
      <c r="B163" s="49" t="s">
        <v>30</v>
      </c>
      <c r="C163" s="50">
        <v>70</v>
      </c>
      <c r="D163" s="49" t="s">
        <v>3</v>
      </c>
      <c r="E163" s="49" t="s">
        <v>1</v>
      </c>
      <c r="F163" s="49">
        <v>50</v>
      </c>
      <c r="G163" s="49">
        <v>8</v>
      </c>
      <c r="H163" s="49">
        <v>1</v>
      </c>
      <c r="I163" s="51">
        <v>0</v>
      </c>
      <c r="J163" s="49">
        <v>0.14000000000000001</v>
      </c>
      <c r="K163" s="52" t="s">
        <v>137</v>
      </c>
    </row>
    <row r="164" spans="1:11">
      <c r="A164" s="59">
        <v>45667</v>
      </c>
      <c r="B164" s="49" t="s">
        <v>51</v>
      </c>
      <c r="C164" s="50">
        <v>80</v>
      </c>
      <c r="D164" s="49" t="s">
        <v>3</v>
      </c>
      <c r="E164" s="49" t="s">
        <v>0</v>
      </c>
      <c r="F164" s="49">
        <v>105</v>
      </c>
      <c r="G164" s="49">
        <v>5</v>
      </c>
      <c r="H164" s="49">
        <v>1</v>
      </c>
      <c r="I164" s="51">
        <v>0</v>
      </c>
      <c r="J164" s="49">
        <v>0.24</v>
      </c>
      <c r="K164" s="52"/>
    </row>
    <row r="165" spans="1:11">
      <c r="A165" s="59">
        <v>45667</v>
      </c>
      <c r="B165" s="49" t="s">
        <v>51</v>
      </c>
      <c r="C165" s="50">
        <v>80</v>
      </c>
      <c r="D165" s="49" t="s">
        <v>3</v>
      </c>
      <c r="E165" s="49" t="s">
        <v>1</v>
      </c>
      <c r="F165" s="49">
        <v>110</v>
      </c>
      <c r="G165" s="49">
        <v>11.2</v>
      </c>
      <c r="H165" s="49">
        <v>1</v>
      </c>
      <c r="I165" s="51">
        <v>0</v>
      </c>
      <c r="J165" s="49">
        <v>0.65</v>
      </c>
      <c r="K165" s="52" t="s">
        <v>138</v>
      </c>
    </row>
    <row r="166" spans="1:11">
      <c r="A166" s="54">
        <v>45667</v>
      </c>
      <c r="B166" s="55" t="s">
        <v>54</v>
      </c>
      <c r="C166" s="56">
        <v>70</v>
      </c>
      <c r="D166" s="55" t="s">
        <v>3</v>
      </c>
      <c r="E166" s="55" t="s">
        <v>0</v>
      </c>
      <c r="F166" s="55">
        <v>85</v>
      </c>
      <c r="G166" s="55">
        <v>65</v>
      </c>
      <c r="H166" s="55">
        <v>3</v>
      </c>
      <c r="I166" s="57">
        <v>0</v>
      </c>
      <c r="J166" s="55">
        <v>6.23</v>
      </c>
      <c r="K166" s="58"/>
    </row>
    <row r="167" spans="1:11">
      <c r="A167" s="54">
        <v>45667</v>
      </c>
      <c r="B167" s="55" t="s">
        <v>54</v>
      </c>
      <c r="C167" s="56">
        <v>70</v>
      </c>
      <c r="D167" s="55" t="s">
        <v>3</v>
      </c>
      <c r="E167" s="55" t="s">
        <v>1</v>
      </c>
      <c r="F167" s="55">
        <v>90</v>
      </c>
      <c r="G167" s="55">
        <v>80</v>
      </c>
      <c r="H167" s="55">
        <v>3</v>
      </c>
      <c r="I167" s="57">
        <v>1</v>
      </c>
      <c r="J167" s="55">
        <v>12.54</v>
      </c>
      <c r="K167" s="58" t="s">
        <v>139</v>
      </c>
    </row>
    <row r="168" spans="1:11">
      <c r="A168" s="59">
        <v>45667</v>
      </c>
      <c r="B168" s="49" t="s">
        <v>43</v>
      </c>
      <c r="C168" s="50">
        <v>75</v>
      </c>
      <c r="D168" s="49" t="s">
        <v>3</v>
      </c>
      <c r="E168" s="49" t="s">
        <v>0</v>
      </c>
      <c r="F168" s="49">
        <v>70</v>
      </c>
      <c r="G168" s="49">
        <v>50</v>
      </c>
      <c r="H168" s="49">
        <v>1</v>
      </c>
      <c r="I168" s="51">
        <v>0</v>
      </c>
      <c r="J168" s="49">
        <v>2.87</v>
      </c>
      <c r="K168" s="52"/>
    </row>
    <row r="169" spans="1:11">
      <c r="A169" s="59">
        <v>45667</v>
      </c>
      <c r="B169" s="49" t="s">
        <v>43</v>
      </c>
      <c r="C169" s="50">
        <v>75</v>
      </c>
      <c r="D169" s="49" t="s">
        <v>3</v>
      </c>
      <c r="E169" s="49" t="s">
        <v>1</v>
      </c>
      <c r="F169" s="49">
        <v>70</v>
      </c>
      <c r="G169" s="49">
        <v>50</v>
      </c>
      <c r="H169" s="49">
        <v>1</v>
      </c>
      <c r="I169" s="51">
        <v>0</v>
      </c>
      <c r="J169" s="49">
        <v>3.34</v>
      </c>
      <c r="K169" s="52" t="s">
        <v>140</v>
      </c>
    </row>
    <row r="170" spans="1:11">
      <c r="A170" s="54">
        <v>45667</v>
      </c>
      <c r="B170" s="55" t="s">
        <v>51</v>
      </c>
      <c r="C170" s="56">
        <v>70</v>
      </c>
      <c r="D170" s="55" t="s">
        <v>3</v>
      </c>
      <c r="E170" s="55" t="s">
        <v>0</v>
      </c>
      <c r="F170" s="55">
        <v>100</v>
      </c>
      <c r="G170" s="55">
        <v>4</v>
      </c>
      <c r="H170" s="55">
        <v>1</v>
      </c>
      <c r="I170" s="57">
        <v>0</v>
      </c>
      <c r="J170" s="55">
        <v>0.18</v>
      </c>
      <c r="K170" s="58"/>
    </row>
    <row r="171" spans="1:11">
      <c r="A171" s="54">
        <v>45667</v>
      </c>
      <c r="B171" s="55" t="s">
        <v>51</v>
      </c>
      <c r="C171" s="56">
        <v>70</v>
      </c>
      <c r="D171" s="55" t="s">
        <v>3</v>
      </c>
      <c r="E171" s="55" t="s">
        <v>1</v>
      </c>
      <c r="F171" s="55">
        <v>105</v>
      </c>
      <c r="G171" s="55">
        <v>9</v>
      </c>
      <c r="H171" s="55">
        <v>1</v>
      </c>
      <c r="I171" s="57">
        <v>0</v>
      </c>
      <c r="J171" s="55">
        <v>0.48</v>
      </c>
      <c r="K171" s="58" t="s">
        <v>74</v>
      </c>
    </row>
    <row r="172" spans="1:11">
      <c r="A172" s="59">
        <v>45667</v>
      </c>
      <c r="B172" s="49" t="s">
        <v>10</v>
      </c>
      <c r="C172" s="50">
        <v>75</v>
      </c>
      <c r="D172" s="49" t="s">
        <v>3</v>
      </c>
      <c r="E172" s="49" t="s">
        <v>0</v>
      </c>
      <c r="F172" s="49">
        <v>76</v>
      </c>
      <c r="G172" s="49">
        <v>15</v>
      </c>
      <c r="H172" s="49">
        <v>1</v>
      </c>
      <c r="I172" s="51">
        <v>0</v>
      </c>
      <c r="J172" s="49">
        <v>1.01</v>
      </c>
      <c r="K172" s="52"/>
    </row>
    <row r="173" spans="1:11">
      <c r="A173" s="59">
        <v>45667</v>
      </c>
      <c r="B173" s="49" t="s">
        <v>10</v>
      </c>
      <c r="C173" s="50">
        <v>75</v>
      </c>
      <c r="D173" s="49" t="s">
        <v>3</v>
      </c>
      <c r="E173" s="49" t="s">
        <v>0</v>
      </c>
      <c r="F173" s="49">
        <v>70</v>
      </c>
      <c r="G173" s="49">
        <v>12</v>
      </c>
      <c r="H173" s="49">
        <v>1</v>
      </c>
      <c r="I173" s="51">
        <v>0</v>
      </c>
      <c r="J173" s="49">
        <v>1.1000000000000001</v>
      </c>
      <c r="K173" s="52" t="s">
        <v>141</v>
      </c>
    </row>
    <row r="174" spans="1:11">
      <c r="A174" s="54">
        <v>45667</v>
      </c>
      <c r="B174" s="55" t="s">
        <v>6</v>
      </c>
      <c r="C174" s="56">
        <v>70</v>
      </c>
      <c r="D174" s="55" t="s">
        <v>3</v>
      </c>
      <c r="E174" s="55" t="s">
        <v>0</v>
      </c>
      <c r="F174" s="55">
        <v>60</v>
      </c>
      <c r="G174" s="55">
        <v>20</v>
      </c>
      <c r="H174" s="55">
        <v>1</v>
      </c>
      <c r="I174" s="57">
        <v>0</v>
      </c>
      <c r="J174" s="55">
        <v>0.57999999999999996</v>
      </c>
      <c r="K174" s="58" t="s">
        <v>142</v>
      </c>
    </row>
    <row r="175" spans="1:11">
      <c r="A175" s="54">
        <v>45667</v>
      </c>
      <c r="B175" s="55" t="s">
        <v>51</v>
      </c>
      <c r="C175" s="56">
        <v>83</v>
      </c>
      <c r="D175" s="55" t="s">
        <v>3</v>
      </c>
      <c r="E175" s="55" t="s">
        <v>0</v>
      </c>
      <c r="F175" s="55">
        <v>125</v>
      </c>
      <c r="G175" s="55">
        <v>3.6</v>
      </c>
      <c r="H175" s="55">
        <v>1</v>
      </c>
      <c r="I175" s="57">
        <v>0</v>
      </c>
      <c r="J175" s="55">
        <v>0.25</v>
      </c>
      <c r="K175" s="58"/>
    </row>
    <row r="176" spans="1:11">
      <c r="A176" s="54">
        <v>45667</v>
      </c>
      <c r="B176" s="55" t="s">
        <v>51</v>
      </c>
      <c r="C176" s="56">
        <v>83</v>
      </c>
      <c r="D176" s="55" t="s">
        <v>3</v>
      </c>
      <c r="E176" s="55" t="s">
        <v>1</v>
      </c>
      <c r="F176" s="55">
        <v>135</v>
      </c>
      <c r="G176" s="55">
        <v>4.4000000000000004</v>
      </c>
      <c r="H176" s="55">
        <v>1</v>
      </c>
      <c r="I176" s="57">
        <v>0</v>
      </c>
      <c r="J176" s="55">
        <v>0.38</v>
      </c>
      <c r="K176" s="58" t="s">
        <v>143</v>
      </c>
    </row>
    <row r="177" spans="1:11">
      <c r="A177" s="59">
        <v>45667</v>
      </c>
      <c r="B177" s="49" t="s">
        <v>51</v>
      </c>
      <c r="C177" s="50">
        <v>88</v>
      </c>
      <c r="D177" s="49" t="s">
        <v>3</v>
      </c>
      <c r="E177" s="49" t="s">
        <v>0</v>
      </c>
      <c r="F177" s="49">
        <v>130</v>
      </c>
      <c r="G177" s="49">
        <v>4</v>
      </c>
      <c r="H177" s="49">
        <v>1</v>
      </c>
      <c r="I177" s="51">
        <v>0</v>
      </c>
      <c r="J177" s="49">
        <v>0.3</v>
      </c>
      <c r="K177" s="52"/>
    </row>
    <row r="178" spans="1:11">
      <c r="A178" s="59">
        <v>45667</v>
      </c>
      <c r="B178" s="49" t="s">
        <v>51</v>
      </c>
      <c r="C178" s="50">
        <v>88</v>
      </c>
      <c r="D178" s="49" t="s">
        <v>3</v>
      </c>
      <c r="E178" s="49" t="s">
        <v>1</v>
      </c>
      <c r="F178" s="49">
        <v>145</v>
      </c>
      <c r="G178" s="49">
        <v>5</v>
      </c>
      <c r="H178" s="49">
        <v>1</v>
      </c>
      <c r="I178" s="51">
        <v>0</v>
      </c>
      <c r="J178" s="49">
        <v>0.5</v>
      </c>
      <c r="K178" s="52" t="s">
        <v>144</v>
      </c>
    </row>
    <row r="179" spans="1:11">
      <c r="A179" s="54">
        <v>45667</v>
      </c>
      <c r="B179" s="55" t="s">
        <v>7</v>
      </c>
      <c r="C179" s="56">
        <v>65</v>
      </c>
      <c r="D179" s="55" t="s">
        <v>3</v>
      </c>
      <c r="E179" s="55" t="s">
        <v>0</v>
      </c>
      <c r="F179" s="55">
        <v>68</v>
      </c>
      <c r="G179" s="55">
        <v>8</v>
      </c>
      <c r="H179" s="55">
        <v>2</v>
      </c>
      <c r="I179" s="57">
        <v>0</v>
      </c>
      <c r="J179" s="55">
        <v>0.59</v>
      </c>
      <c r="K179" s="58"/>
    </row>
    <row r="180" spans="1:11">
      <c r="A180" s="54">
        <v>45667</v>
      </c>
      <c r="B180" s="55" t="s">
        <v>7</v>
      </c>
      <c r="C180" s="56">
        <v>65</v>
      </c>
      <c r="D180" s="55" t="s">
        <v>3</v>
      </c>
      <c r="E180" s="55" t="s">
        <v>1</v>
      </c>
      <c r="F180" s="55">
        <v>68</v>
      </c>
      <c r="G180" s="55">
        <v>8</v>
      </c>
      <c r="H180" s="55">
        <v>1</v>
      </c>
      <c r="I180" s="57">
        <v>0</v>
      </c>
      <c r="J180" s="55">
        <v>0.26</v>
      </c>
      <c r="K180" s="58" t="s">
        <v>145</v>
      </c>
    </row>
    <row r="181" spans="1:11">
      <c r="A181" s="59">
        <v>45668</v>
      </c>
      <c r="B181" s="49" t="s">
        <v>51</v>
      </c>
      <c r="C181" s="50">
        <v>75</v>
      </c>
      <c r="D181" s="49" t="s">
        <v>3</v>
      </c>
      <c r="E181" s="49" t="s">
        <v>0</v>
      </c>
      <c r="F181" s="49">
        <v>90</v>
      </c>
      <c r="G181" s="49">
        <v>2.5</v>
      </c>
      <c r="H181" s="49">
        <v>1</v>
      </c>
      <c r="I181" s="51">
        <v>0</v>
      </c>
      <c r="J181" s="49">
        <v>0.09</v>
      </c>
      <c r="K181" s="52" t="s">
        <v>99</v>
      </c>
    </row>
    <row r="182" spans="1:11">
      <c r="A182" s="54">
        <v>45668</v>
      </c>
      <c r="B182" s="55" t="s">
        <v>50</v>
      </c>
      <c r="C182" s="56">
        <v>75</v>
      </c>
      <c r="D182" s="55" t="s">
        <v>3</v>
      </c>
      <c r="E182" s="55" t="s">
        <v>0</v>
      </c>
      <c r="F182" s="55">
        <v>55</v>
      </c>
      <c r="G182" s="55">
        <v>5</v>
      </c>
      <c r="H182" s="55">
        <v>2</v>
      </c>
      <c r="I182" s="57">
        <v>0</v>
      </c>
      <c r="J182" s="55">
        <v>0.2</v>
      </c>
      <c r="K182" s="58" t="s">
        <v>108</v>
      </c>
    </row>
    <row r="183" spans="1:11">
      <c r="A183" s="59">
        <v>45668</v>
      </c>
      <c r="B183" s="49" t="s">
        <v>51</v>
      </c>
      <c r="C183" s="50">
        <v>72</v>
      </c>
      <c r="D183" s="49" t="s">
        <v>3</v>
      </c>
      <c r="E183" s="49" t="s">
        <v>0</v>
      </c>
      <c r="F183" s="49">
        <v>125</v>
      </c>
      <c r="G183" s="49">
        <v>3.6</v>
      </c>
      <c r="H183" s="49">
        <v>1</v>
      </c>
      <c r="I183" s="51">
        <v>0</v>
      </c>
      <c r="J183" s="49">
        <v>0.25</v>
      </c>
      <c r="K183" s="52"/>
    </row>
    <row r="184" spans="1:11">
      <c r="A184" s="59">
        <v>45668</v>
      </c>
      <c r="B184" s="49" t="s">
        <v>51</v>
      </c>
      <c r="C184" s="50">
        <v>72</v>
      </c>
      <c r="D184" s="49" t="s">
        <v>3</v>
      </c>
      <c r="E184" s="49" t="s">
        <v>1</v>
      </c>
      <c r="F184" s="49">
        <v>137</v>
      </c>
      <c r="G184" s="49">
        <v>5</v>
      </c>
      <c r="H184" s="49">
        <v>1</v>
      </c>
      <c r="I184" s="51">
        <v>0</v>
      </c>
      <c r="J184" s="49">
        <v>0.45</v>
      </c>
      <c r="K184" s="52" t="s">
        <v>104</v>
      </c>
    </row>
    <row r="185" spans="1:11">
      <c r="A185" s="54">
        <v>45668</v>
      </c>
      <c r="B185" s="55" t="s">
        <v>51</v>
      </c>
      <c r="C185" s="56">
        <v>76</v>
      </c>
      <c r="D185" s="55" t="s">
        <v>3</v>
      </c>
      <c r="E185" s="55" t="s">
        <v>0</v>
      </c>
      <c r="F185" s="55">
        <v>78</v>
      </c>
      <c r="G185" s="55">
        <v>14</v>
      </c>
      <c r="H185" s="55">
        <v>2</v>
      </c>
      <c r="I185" s="57">
        <v>0</v>
      </c>
      <c r="J185" s="55">
        <v>0.75</v>
      </c>
      <c r="K185" s="58"/>
    </row>
    <row r="186" spans="1:11">
      <c r="A186" s="54">
        <v>45668</v>
      </c>
      <c r="B186" s="55" t="s">
        <v>51</v>
      </c>
      <c r="C186" s="56">
        <v>76</v>
      </c>
      <c r="D186" s="55" t="s">
        <v>3</v>
      </c>
      <c r="E186" s="55" t="s">
        <v>1</v>
      </c>
      <c r="F186" s="55">
        <v>70</v>
      </c>
      <c r="G186" s="55">
        <v>14</v>
      </c>
      <c r="H186" s="55">
        <v>2</v>
      </c>
      <c r="I186" s="57">
        <v>0</v>
      </c>
      <c r="J186" s="55">
        <v>0.67</v>
      </c>
      <c r="K186" s="58" t="s">
        <v>146</v>
      </c>
    </row>
    <row r="187" spans="1:11">
      <c r="A187" s="59">
        <v>45668</v>
      </c>
      <c r="B187" s="49" t="s">
        <v>23</v>
      </c>
      <c r="C187" s="50">
        <v>76</v>
      </c>
      <c r="D187" s="49" t="s">
        <v>3</v>
      </c>
      <c r="E187" s="49" t="s">
        <v>0</v>
      </c>
      <c r="F187" s="49">
        <v>78</v>
      </c>
      <c r="G187" s="49">
        <v>14</v>
      </c>
      <c r="H187" s="49">
        <v>2</v>
      </c>
      <c r="I187" s="51">
        <v>0</v>
      </c>
      <c r="J187" s="49">
        <v>1.1000000000000001</v>
      </c>
      <c r="K187" s="52"/>
    </row>
    <row r="188" spans="1:11">
      <c r="A188" s="59">
        <v>45668</v>
      </c>
      <c r="B188" s="49" t="s">
        <v>23</v>
      </c>
      <c r="C188" s="50">
        <v>76</v>
      </c>
      <c r="D188" s="49" t="s">
        <v>3</v>
      </c>
      <c r="E188" s="49" t="s">
        <v>1</v>
      </c>
      <c r="F188" s="49">
        <v>70</v>
      </c>
      <c r="G188" s="49">
        <v>14</v>
      </c>
      <c r="H188" s="49">
        <v>2</v>
      </c>
      <c r="I188" s="51">
        <v>0</v>
      </c>
      <c r="J188" s="49">
        <v>0.89</v>
      </c>
      <c r="K188" s="52" t="s">
        <v>102</v>
      </c>
    </row>
    <row r="189" spans="1:11">
      <c r="A189" s="54">
        <v>45668</v>
      </c>
      <c r="B189" s="55" t="s">
        <v>51</v>
      </c>
      <c r="C189" s="56">
        <v>86</v>
      </c>
      <c r="D189" s="55" t="s">
        <v>3</v>
      </c>
      <c r="E189" s="55" t="s">
        <v>0</v>
      </c>
      <c r="F189" s="55">
        <v>80</v>
      </c>
      <c r="G189" s="55">
        <v>3.5</v>
      </c>
      <c r="H189" s="55">
        <v>1</v>
      </c>
      <c r="I189" s="57">
        <v>0</v>
      </c>
      <c r="J189" s="55">
        <v>0.1</v>
      </c>
      <c r="K189" s="58" t="s">
        <v>147</v>
      </c>
    </row>
    <row r="190" spans="1:11">
      <c r="A190" s="59">
        <v>45668</v>
      </c>
      <c r="B190" s="49" t="s">
        <v>51</v>
      </c>
      <c r="C190" s="50">
        <v>58</v>
      </c>
      <c r="D190" s="49" t="s">
        <v>3</v>
      </c>
      <c r="E190" s="49" t="s">
        <v>0</v>
      </c>
      <c r="F190" s="49">
        <v>80</v>
      </c>
      <c r="G190" s="49">
        <v>2.5</v>
      </c>
      <c r="H190" s="49">
        <v>1</v>
      </c>
      <c r="I190" s="51">
        <v>0</v>
      </c>
      <c r="J190" s="49">
        <v>7.0000000000000007E-2</v>
      </c>
      <c r="K190" s="52"/>
    </row>
    <row r="191" spans="1:11">
      <c r="A191" s="59">
        <v>45668</v>
      </c>
      <c r="B191" s="49" t="s">
        <v>51</v>
      </c>
      <c r="C191" s="50">
        <v>58</v>
      </c>
      <c r="D191" s="49" t="s">
        <v>3</v>
      </c>
      <c r="E191" s="49" t="s">
        <v>1</v>
      </c>
      <c r="F191" s="49">
        <v>80</v>
      </c>
      <c r="G191" s="49">
        <v>7</v>
      </c>
      <c r="H191" s="49">
        <v>1</v>
      </c>
      <c r="I191" s="51">
        <v>0</v>
      </c>
      <c r="J191" s="49">
        <v>0.22</v>
      </c>
      <c r="K191" s="52" t="s">
        <v>137</v>
      </c>
    </row>
    <row r="192" spans="1:11">
      <c r="A192" s="54">
        <v>45668</v>
      </c>
      <c r="B192" s="55" t="s">
        <v>51</v>
      </c>
      <c r="C192" s="56">
        <v>58</v>
      </c>
      <c r="D192" s="55" t="s">
        <v>3</v>
      </c>
      <c r="E192" s="55" t="s">
        <v>0</v>
      </c>
      <c r="F192" s="55">
        <v>80</v>
      </c>
      <c r="G192" s="55">
        <v>2.5</v>
      </c>
      <c r="H192" s="55">
        <v>1</v>
      </c>
      <c r="I192" s="57">
        <v>0</v>
      </c>
      <c r="J192" s="55">
        <v>7.0000000000000007E-2</v>
      </c>
      <c r="K192" s="58"/>
    </row>
    <row r="193" spans="1:11">
      <c r="A193" s="54">
        <v>45668</v>
      </c>
      <c r="B193" s="55" t="s">
        <v>51</v>
      </c>
      <c r="C193" s="56">
        <v>58</v>
      </c>
      <c r="D193" s="55" t="s">
        <v>3</v>
      </c>
      <c r="E193" s="55" t="s">
        <v>1</v>
      </c>
      <c r="F193" s="55">
        <v>80</v>
      </c>
      <c r="G193" s="55">
        <v>7</v>
      </c>
      <c r="H193" s="55">
        <v>1</v>
      </c>
      <c r="I193" s="57">
        <v>0</v>
      </c>
      <c r="J193" s="55">
        <v>0.22</v>
      </c>
      <c r="K193" s="58" t="s">
        <v>137</v>
      </c>
    </row>
    <row r="194" spans="1:11">
      <c r="A194" s="59">
        <v>45668</v>
      </c>
      <c r="B194" s="49" t="s">
        <v>54</v>
      </c>
      <c r="C194" s="50">
        <v>60</v>
      </c>
      <c r="D194" s="49" t="s">
        <v>3</v>
      </c>
      <c r="E194" s="49" t="s">
        <v>0</v>
      </c>
      <c r="F194" s="49">
        <v>80</v>
      </c>
      <c r="G194" s="49">
        <v>35</v>
      </c>
      <c r="H194" s="49">
        <v>3</v>
      </c>
      <c r="I194" s="51">
        <v>0</v>
      </c>
      <c r="J194" s="49">
        <v>2.97</v>
      </c>
      <c r="K194" s="52"/>
    </row>
    <row r="195" spans="1:11">
      <c r="A195" s="59">
        <v>45668</v>
      </c>
      <c r="B195" s="49" t="s">
        <v>54</v>
      </c>
      <c r="C195" s="50">
        <v>60</v>
      </c>
      <c r="D195" s="49" t="s">
        <v>3</v>
      </c>
      <c r="E195" s="49" t="s">
        <v>1</v>
      </c>
      <c r="F195" s="49">
        <v>80</v>
      </c>
      <c r="G195" s="49">
        <v>35</v>
      </c>
      <c r="H195" s="49">
        <v>3</v>
      </c>
      <c r="I195" s="51">
        <v>0</v>
      </c>
      <c r="J195" s="49">
        <v>3.26</v>
      </c>
      <c r="K195" s="52" t="s">
        <v>148</v>
      </c>
    </row>
    <row r="196" spans="1:11">
      <c r="A196" s="54">
        <v>45668</v>
      </c>
      <c r="B196" s="55" t="s">
        <v>30</v>
      </c>
      <c r="C196" s="56">
        <v>45</v>
      </c>
      <c r="D196" s="55" t="s">
        <v>3</v>
      </c>
      <c r="E196" s="55" t="s">
        <v>0</v>
      </c>
      <c r="F196" s="55">
        <v>60</v>
      </c>
      <c r="G196" s="55">
        <v>9</v>
      </c>
      <c r="H196" s="55">
        <v>1</v>
      </c>
      <c r="I196" s="57">
        <v>0</v>
      </c>
      <c r="J196" s="55">
        <v>0.24</v>
      </c>
      <c r="K196" s="58"/>
    </row>
    <row r="197" spans="1:11">
      <c r="A197" s="54">
        <v>45668</v>
      </c>
      <c r="B197" s="55" t="s">
        <v>30</v>
      </c>
      <c r="C197" s="56">
        <v>45</v>
      </c>
      <c r="D197" s="55" t="s">
        <v>3</v>
      </c>
      <c r="E197" s="55" t="s">
        <v>1</v>
      </c>
      <c r="F197" s="55">
        <v>50</v>
      </c>
      <c r="G197" s="55">
        <v>2.2999999999999998</v>
      </c>
      <c r="H197" s="55">
        <v>2</v>
      </c>
      <c r="I197" s="57">
        <v>0</v>
      </c>
      <c r="J197" s="55">
        <v>0.18</v>
      </c>
      <c r="K197" s="58" t="s">
        <v>149</v>
      </c>
    </row>
    <row r="198" spans="1:11">
      <c r="A198" s="59">
        <v>45668</v>
      </c>
      <c r="B198" s="49" t="s">
        <v>51</v>
      </c>
      <c r="C198" s="50">
        <v>65</v>
      </c>
      <c r="D198" s="49" t="s">
        <v>3</v>
      </c>
      <c r="E198" s="49" t="s">
        <v>0</v>
      </c>
      <c r="F198" s="49">
        <v>80</v>
      </c>
      <c r="G198" s="49">
        <v>3.5</v>
      </c>
      <c r="H198" s="49">
        <v>1</v>
      </c>
      <c r="I198" s="51">
        <v>0</v>
      </c>
      <c r="J198" s="49">
        <v>0.1</v>
      </c>
      <c r="K198" s="52" t="s">
        <v>147</v>
      </c>
    </row>
    <row r="199" spans="1:11">
      <c r="A199" s="59">
        <v>45668</v>
      </c>
      <c r="B199" s="49" t="s">
        <v>51</v>
      </c>
      <c r="C199" s="50">
        <v>60</v>
      </c>
      <c r="D199" s="49" t="s">
        <v>3</v>
      </c>
      <c r="E199" s="49" t="s">
        <v>0</v>
      </c>
      <c r="F199" s="49">
        <v>80</v>
      </c>
      <c r="G199" s="49">
        <v>3.5</v>
      </c>
      <c r="H199" s="49">
        <v>1</v>
      </c>
      <c r="I199" s="51">
        <v>0</v>
      </c>
      <c r="J199" s="49">
        <v>0.1</v>
      </c>
      <c r="K199" s="52" t="s">
        <v>147</v>
      </c>
    </row>
    <row r="200" spans="1:11">
      <c r="A200" s="54">
        <v>45668</v>
      </c>
      <c r="B200" s="55" t="s">
        <v>51</v>
      </c>
      <c r="C200" s="56">
        <v>60</v>
      </c>
      <c r="D200" s="55" t="s">
        <v>3</v>
      </c>
      <c r="E200" s="55" t="s">
        <v>0</v>
      </c>
      <c r="F200" s="55">
        <v>80</v>
      </c>
      <c r="G200" s="55">
        <v>3.5</v>
      </c>
      <c r="H200" s="55">
        <v>1</v>
      </c>
      <c r="I200" s="57">
        <v>0</v>
      </c>
      <c r="J200" s="55">
        <v>0.1</v>
      </c>
      <c r="K200" s="58"/>
    </row>
    <row r="201" spans="1:11">
      <c r="A201" s="54">
        <v>45668</v>
      </c>
      <c r="B201" s="55" t="s">
        <v>51</v>
      </c>
      <c r="C201" s="56">
        <v>60</v>
      </c>
      <c r="D201" s="55" t="s">
        <v>3</v>
      </c>
      <c r="E201" s="55" t="s">
        <v>1</v>
      </c>
      <c r="F201" s="55">
        <v>95</v>
      </c>
      <c r="G201" s="55">
        <v>5</v>
      </c>
      <c r="H201" s="55">
        <v>1</v>
      </c>
      <c r="I201" s="57">
        <v>0</v>
      </c>
      <c r="J201" s="55">
        <v>0.22</v>
      </c>
      <c r="K201" s="58" t="s">
        <v>78</v>
      </c>
    </row>
    <row r="202" spans="1:11">
      <c r="A202" s="54">
        <v>45668</v>
      </c>
      <c r="B202" s="55" t="s">
        <v>51</v>
      </c>
      <c r="C202" s="56">
        <v>70</v>
      </c>
      <c r="D202" s="55" t="s">
        <v>3</v>
      </c>
      <c r="E202" s="55" t="s">
        <v>0</v>
      </c>
      <c r="F202" s="55">
        <v>100</v>
      </c>
      <c r="G202" s="55">
        <v>5</v>
      </c>
      <c r="H202" s="55">
        <v>1</v>
      </c>
      <c r="I202" s="57">
        <v>0</v>
      </c>
      <c r="J202" s="55">
        <v>0.22</v>
      </c>
      <c r="K202" s="58"/>
    </row>
    <row r="203" spans="1:11">
      <c r="A203" s="54">
        <v>45668</v>
      </c>
      <c r="B203" s="55" t="s">
        <v>51</v>
      </c>
      <c r="C203" s="56">
        <v>70</v>
      </c>
      <c r="D203" s="55" t="s">
        <v>3</v>
      </c>
      <c r="E203" s="55" t="s">
        <v>1</v>
      </c>
      <c r="F203" s="55">
        <v>100</v>
      </c>
      <c r="G203" s="55">
        <v>11.2</v>
      </c>
      <c r="H203" s="55">
        <v>1</v>
      </c>
      <c r="I203" s="57"/>
      <c r="J203" s="55">
        <v>0.54</v>
      </c>
      <c r="K203" s="58" t="s">
        <v>113</v>
      </c>
    </row>
    <row r="204" spans="1:11">
      <c r="A204" s="59">
        <v>45668</v>
      </c>
      <c r="B204" s="49" t="s">
        <v>51</v>
      </c>
      <c r="C204" s="50">
        <v>70</v>
      </c>
      <c r="D204" s="49" t="s">
        <v>3</v>
      </c>
      <c r="E204" s="49" t="s">
        <v>0</v>
      </c>
      <c r="F204" s="49">
        <v>100</v>
      </c>
      <c r="G204" s="49">
        <v>5</v>
      </c>
      <c r="H204" s="49">
        <v>1</v>
      </c>
      <c r="I204" s="51">
        <v>0</v>
      </c>
      <c r="J204" s="49">
        <v>0.22</v>
      </c>
      <c r="K204" s="52"/>
    </row>
    <row r="205" spans="1:11">
      <c r="A205" s="59">
        <v>45668</v>
      </c>
      <c r="B205" s="49" t="s">
        <v>51</v>
      </c>
      <c r="C205" s="50">
        <v>70</v>
      </c>
      <c r="D205" s="49" t="s">
        <v>3</v>
      </c>
      <c r="E205" s="49" t="s">
        <v>1</v>
      </c>
      <c r="F205" s="49">
        <v>100</v>
      </c>
      <c r="G205" s="49">
        <v>10</v>
      </c>
      <c r="H205" s="49">
        <v>1</v>
      </c>
      <c r="I205" s="51">
        <v>0</v>
      </c>
      <c r="J205" s="49">
        <v>0.48</v>
      </c>
      <c r="K205" s="52" t="s">
        <v>104</v>
      </c>
    </row>
    <row r="206" spans="1:11">
      <c r="A206" s="54">
        <v>45669</v>
      </c>
      <c r="B206" s="55" t="s">
        <v>51</v>
      </c>
      <c r="C206" s="56">
        <v>67</v>
      </c>
      <c r="D206" s="55" t="s">
        <v>3</v>
      </c>
      <c r="E206" s="55" t="s">
        <v>0</v>
      </c>
      <c r="F206" s="55">
        <v>100</v>
      </c>
      <c r="G206" s="55">
        <v>5</v>
      </c>
      <c r="H206" s="55">
        <v>1</v>
      </c>
      <c r="I206" s="57">
        <v>0</v>
      </c>
      <c r="J206" s="55">
        <v>0.22</v>
      </c>
      <c r="K206" s="58"/>
    </row>
    <row r="207" spans="1:11">
      <c r="A207" s="54">
        <v>45669</v>
      </c>
      <c r="B207" s="55" t="s">
        <v>51</v>
      </c>
      <c r="C207" s="56">
        <v>67</v>
      </c>
      <c r="D207" s="55" t="s">
        <v>3</v>
      </c>
      <c r="E207" s="55" t="s">
        <v>1</v>
      </c>
      <c r="F207" s="55">
        <v>100</v>
      </c>
      <c r="G207" s="55">
        <v>9</v>
      </c>
      <c r="H207" s="55">
        <v>1</v>
      </c>
      <c r="I207" s="57">
        <v>0</v>
      </c>
      <c r="J207" s="55">
        <v>0.43</v>
      </c>
      <c r="K207" s="58" t="s">
        <v>119</v>
      </c>
    </row>
    <row r="208" spans="1:11">
      <c r="A208" s="59">
        <v>45669</v>
      </c>
      <c r="B208" s="49" t="s">
        <v>43</v>
      </c>
      <c r="C208" s="50">
        <v>55</v>
      </c>
      <c r="D208" s="49" t="s">
        <v>3</v>
      </c>
      <c r="E208" s="49" t="s">
        <v>0</v>
      </c>
      <c r="F208" s="49">
        <v>76</v>
      </c>
      <c r="G208" s="49">
        <v>25.6</v>
      </c>
      <c r="H208" s="49">
        <v>1</v>
      </c>
      <c r="I208" s="51">
        <v>0</v>
      </c>
      <c r="J208" s="49">
        <v>1.73</v>
      </c>
      <c r="K208" s="52"/>
    </row>
    <row r="209" spans="1:11">
      <c r="A209" s="59">
        <v>45669</v>
      </c>
      <c r="B209" s="49" t="s">
        <v>43</v>
      </c>
      <c r="C209" s="50">
        <v>55</v>
      </c>
      <c r="D209" s="49" t="s">
        <v>3</v>
      </c>
      <c r="E209" s="49" t="s">
        <v>1</v>
      </c>
      <c r="F209" s="49">
        <v>76</v>
      </c>
      <c r="G209" s="49">
        <v>25.6</v>
      </c>
      <c r="H209" s="49">
        <v>2</v>
      </c>
      <c r="I209" s="51">
        <v>0</v>
      </c>
      <c r="J209" s="49">
        <v>4.03</v>
      </c>
      <c r="K209" s="52" t="s">
        <v>150</v>
      </c>
    </row>
    <row r="210" spans="1:11">
      <c r="A210" s="59">
        <v>45669</v>
      </c>
      <c r="B210" s="49" t="s">
        <v>51</v>
      </c>
      <c r="C210" s="50">
        <v>115</v>
      </c>
      <c r="D210" s="49" t="s">
        <v>3</v>
      </c>
      <c r="E210" s="49" t="s">
        <v>0</v>
      </c>
      <c r="F210" s="49">
        <v>90</v>
      </c>
      <c r="G210" s="49">
        <v>10</v>
      </c>
      <c r="H210" s="49">
        <v>1</v>
      </c>
      <c r="I210" s="51">
        <v>0</v>
      </c>
      <c r="J210" s="49">
        <v>0.36</v>
      </c>
      <c r="K210" s="52" t="s">
        <v>151</v>
      </c>
    </row>
    <row r="211" spans="1:11">
      <c r="A211" s="54">
        <v>45669</v>
      </c>
      <c r="B211" s="55" t="s">
        <v>51</v>
      </c>
      <c r="C211" s="56">
        <v>60</v>
      </c>
      <c r="D211" s="55" t="s">
        <v>3</v>
      </c>
      <c r="E211" s="55" t="s">
        <v>0</v>
      </c>
      <c r="F211" s="55">
        <v>85</v>
      </c>
      <c r="G211" s="55">
        <v>4</v>
      </c>
      <c r="H211" s="55">
        <v>1</v>
      </c>
      <c r="I211" s="57">
        <v>0</v>
      </c>
      <c r="J211" s="55">
        <v>0.13</v>
      </c>
      <c r="K211" s="58"/>
    </row>
    <row r="212" spans="1:11">
      <c r="A212" s="54">
        <v>45669</v>
      </c>
      <c r="B212" s="55" t="s">
        <v>51</v>
      </c>
      <c r="C212" s="56">
        <v>60</v>
      </c>
      <c r="D212" s="55" t="s">
        <v>3</v>
      </c>
      <c r="E212" s="55" t="s">
        <v>1</v>
      </c>
      <c r="F212" s="55">
        <v>85</v>
      </c>
      <c r="G212" s="55">
        <v>6</v>
      </c>
      <c r="H212" s="55">
        <v>1</v>
      </c>
      <c r="I212" s="57">
        <v>0</v>
      </c>
      <c r="J212" s="55">
        <v>0.21</v>
      </c>
      <c r="K212" s="58" t="s">
        <v>135</v>
      </c>
    </row>
    <row r="213" spans="1:11">
      <c r="A213" s="59">
        <v>45669</v>
      </c>
      <c r="B213" s="49" t="s">
        <v>51</v>
      </c>
      <c r="C213" s="50">
        <v>55</v>
      </c>
      <c r="D213" s="49" t="s">
        <v>3</v>
      </c>
      <c r="E213" s="49" t="s">
        <v>0</v>
      </c>
      <c r="F213" s="49">
        <v>80</v>
      </c>
      <c r="G213" s="49">
        <v>3</v>
      </c>
      <c r="H213" s="49">
        <v>1</v>
      </c>
      <c r="I213" s="51">
        <v>0</v>
      </c>
      <c r="J213" s="49">
        <v>0.08</v>
      </c>
      <c r="K213" s="52"/>
    </row>
    <row r="214" spans="1:11">
      <c r="A214" s="59">
        <v>45669</v>
      </c>
      <c r="B214" s="49" t="s">
        <v>51</v>
      </c>
      <c r="C214" s="50">
        <v>55</v>
      </c>
      <c r="D214" s="49" t="s">
        <v>3</v>
      </c>
      <c r="E214" s="49" t="s">
        <v>1</v>
      </c>
      <c r="F214" s="49">
        <v>80</v>
      </c>
      <c r="G214" s="49">
        <v>7</v>
      </c>
      <c r="H214" s="49">
        <v>1</v>
      </c>
      <c r="I214" s="51">
        <v>0</v>
      </c>
      <c r="J214" s="49">
        <v>0.22</v>
      </c>
      <c r="K214" s="52" t="s">
        <v>152</v>
      </c>
    </row>
    <row r="215" spans="1:11">
      <c r="A215" s="59">
        <v>45669</v>
      </c>
      <c r="B215" s="49" t="s">
        <v>5</v>
      </c>
      <c r="C215" s="50">
        <v>77</v>
      </c>
      <c r="D215" s="49" t="s">
        <v>3</v>
      </c>
      <c r="E215" s="49" t="s">
        <v>0</v>
      </c>
      <c r="F215" s="49">
        <v>57</v>
      </c>
      <c r="G215" s="49">
        <v>5.6</v>
      </c>
      <c r="H215" s="49">
        <v>2</v>
      </c>
      <c r="I215" s="51">
        <v>0</v>
      </c>
      <c r="J215" s="49">
        <v>0.27</v>
      </c>
      <c r="K215" s="52"/>
    </row>
    <row r="216" spans="1:11">
      <c r="A216" s="59">
        <v>45669</v>
      </c>
      <c r="B216" s="49" t="s">
        <v>5</v>
      </c>
      <c r="C216" s="50">
        <v>77</v>
      </c>
      <c r="D216" s="49" t="s">
        <v>3</v>
      </c>
      <c r="E216" s="49" t="s">
        <v>1</v>
      </c>
      <c r="F216" s="49">
        <v>55</v>
      </c>
      <c r="G216" s="49">
        <v>5</v>
      </c>
      <c r="H216" s="49">
        <v>2</v>
      </c>
      <c r="I216" s="51">
        <v>0</v>
      </c>
      <c r="J216" s="49">
        <v>0.21</v>
      </c>
      <c r="K216" s="52" t="s">
        <v>105</v>
      </c>
    </row>
    <row r="217" spans="1:11">
      <c r="A217" s="54">
        <v>45669</v>
      </c>
      <c r="B217" s="55" t="s">
        <v>23</v>
      </c>
      <c r="C217" s="56">
        <v>77</v>
      </c>
      <c r="D217" s="55" t="s">
        <v>3</v>
      </c>
      <c r="E217" s="55" t="s">
        <v>0</v>
      </c>
      <c r="F217" s="55">
        <v>67</v>
      </c>
      <c r="G217" s="55">
        <v>8</v>
      </c>
      <c r="H217" s="55">
        <v>1</v>
      </c>
      <c r="I217" s="57">
        <v>0</v>
      </c>
      <c r="J217" s="55">
        <v>0.23</v>
      </c>
      <c r="K217" s="58"/>
    </row>
    <row r="218" spans="1:11">
      <c r="A218" s="54">
        <v>45669</v>
      </c>
      <c r="B218" s="55" t="s">
        <v>23</v>
      </c>
      <c r="C218" s="56">
        <v>77</v>
      </c>
      <c r="D218" s="55" t="s">
        <v>3</v>
      </c>
      <c r="E218" s="55" t="s">
        <v>1</v>
      </c>
      <c r="F218" s="55">
        <v>69</v>
      </c>
      <c r="G218" s="55">
        <v>10</v>
      </c>
      <c r="H218" s="55">
        <v>2</v>
      </c>
      <c r="I218" s="57">
        <v>0</v>
      </c>
      <c r="J218" s="55">
        <v>0.62</v>
      </c>
      <c r="K218" s="58" t="s">
        <v>145</v>
      </c>
    </row>
    <row r="219" spans="1:11">
      <c r="A219" s="59">
        <v>45670</v>
      </c>
      <c r="B219" s="49" t="s">
        <v>51</v>
      </c>
      <c r="C219" s="50">
        <v>67</v>
      </c>
      <c r="D219" s="49" t="s">
        <v>3</v>
      </c>
      <c r="E219" s="49" t="s">
        <v>0</v>
      </c>
      <c r="F219" s="49">
        <v>125</v>
      </c>
      <c r="G219" s="49">
        <v>3.6</v>
      </c>
      <c r="H219" s="49">
        <v>1</v>
      </c>
      <c r="I219" s="51">
        <v>0</v>
      </c>
      <c r="J219" s="49">
        <v>0.25</v>
      </c>
      <c r="K219" s="52"/>
    </row>
    <row r="220" spans="1:11">
      <c r="A220" s="59">
        <v>45670</v>
      </c>
      <c r="B220" s="49" t="s">
        <v>51</v>
      </c>
      <c r="C220" s="50">
        <v>67</v>
      </c>
      <c r="D220" s="49" t="s">
        <v>3</v>
      </c>
      <c r="E220" s="49" t="s">
        <v>1</v>
      </c>
      <c r="F220" s="49">
        <v>135</v>
      </c>
      <c r="G220" s="49">
        <v>4.5</v>
      </c>
      <c r="H220" s="49">
        <v>1</v>
      </c>
      <c r="I220" s="51">
        <v>0</v>
      </c>
      <c r="J220" s="49">
        <v>0.39</v>
      </c>
      <c r="K220" s="52" t="s">
        <v>106</v>
      </c>
    </row>
    <row r="221" spans="1:11">
      <c r="A221" s="54">
        <v>45670</v>
      </c>
      <c r="B221" s="55" t="s">
        <v>54</v>
      </c>
      <c r="C221" s="56">
        <v>70</v>
      </c>
      <c r="D221" s="55" t="s">
        <v>3</v>
      </c>
      <c r="E221" s="55" t="s">
        <v>0</v>
      </c>
      <c r="F221" s="55">
        <v>50</v>
      </c>
      <c r="G221" s="55">
        <v>20</v>
      </c>
      <c r="H221" s="55">
        <v>3</v>
      </c>
      <c r="I221" s="57">
        <v>0</v>
      </c>
      <c r="J221" s="55">
        <v>0.67</v>
      </c>
      <c r="K221" s="58"/>
    </row>
    <row r="222" spans="1:11">
      <c r="A222" s="54">
        <v>45670</v>
      </c>
      <c r="B222" s="55" t="s">
        <v>54</v>
      </c>
      <c r="C222" s="56">
        <v>70</v>
      </c>
      <c r="D222" s="55" t="s">
        <v>3</v>
      </c>
      <c r="E222" s="55" t="s">
        <v>1</v>
      </c>
      <c r="F222" s="55">
        <v>60</v>
      </c>
      <c r="G222" s="55">
        <v>32</v>
      </c>
      <c r="H222" s="55">
        <v>3</v>
      </c>
      <c r="I222" s="57">
        <v>0</v>
      </c>
      <c r="J222" s="55">
        <v>1.69</v>
      </c>
      <c r="K222" s="58" t="s">
        <v>153</v>
      </c>
    </row>
    <row r="223" spans="1:11">
      <c r="A223" s="59">
        <v>45670</v>
      </c>
      <c r="B223" s="49" t="s">
        <v>31</v>
      </c>
      <c r="C223" s="50">
        <v>120</v>
      </c>
      <c r="D223" s="49" t="s">
        <v>3</v>
      </c>
      <c r="E223" s="49" t="s">
        <v>0</v>
      </c>
      <c r="F223" s="49">
        <v>100</v>
      </c>
      <c r="G223" s="49">
        <v>50</v>
      </c>
      <c r="H223" s="49">
        <v>1</v>
      </c>
      <c r="I223" s="51">
        <v>0</v>
      </c>
      <c r="J223" s="49">
        <v>2.2000000000000002</v>
      </c>
      <c r="K223" s="52"/>
    </row>
    <row r="224" spans="1:11">
      <c r="A224" s="59">
        <v>45670</v>
      </c>
      <c r="B224" s="49" t="s">
        <v>31</v>
      </c>
      <c r="C224" s="50">
        <v>120</v>
      </c>
      <c r="D224" s="49" t="s">
        <v>3</v>
      </c>
      <c r="E224" s="49" t="s">
        <v>1</v>
      </c>
      <c r="F224" s="49">
        <v>120</v>
      </c>
      <c r="G224" s="49">
        <v>60</v>
      </c>
      <c r="H224" s="49">
        <v>1</v>
      </c>
      <c r="I224" s="51">
        <v>0</v>
      </c>
      <c r="J224" s="49">
        <v>4.1500000000000004</v>
      </c>
      <c r="K224" s="52" t="s">
        <v>154</v>
      </c>
    </row>
    <row r="225" spans="1:11">
      <c r="A225" s="54">
        <v>45670</v>
      </c>
      <c r="B225" s="55" t="s">
        <v>30</v>
      </c>
      <c r="C225" s="56">
        <v>55</v>
      </c>
      <c r="D225" s="55" t="s">
        <v>3</v>
      </c>
      <c r="E225" s="55" t="s">
        <v>0</v>
      </c>
      <c r="F225" s="55">
        <v>55</v>
      </c>
      <c r="G225" s="55">
        <v>2</v>
      </c>
      <c r="H225" s="55">
        <v>1</v>
      </c>
      <c r="I225" s="57">
        <v>0</v>
      </c>
      <c r="J225" s="55">
        <v>0.04</v>
      </c>
      <c r="K225" s="58"/>
    </row>
    <row r="226" spans="1:11">
      <c r="A226" s="54">
        <v>45670</v>
      </c>
      <c r="B226" s="55" t="s">
        <v>30</v>
      </c>
      <c r="C226" s="56">
        <v>55</v>
      </c>
      <c r="D226" s="55" t="s">
        <v>3</v>
      </c>
      <c r="E226" s="55" t="s">
        <v>1</v>
      </c>
      <c r="F226" s="55">
        <v>55</v>
      </c>
      <c r="G226" s="55">
        <v>2</v>
      </c>
      <c r="H226" s="55">
        <v>1</v>
      </c>
      <c r="I226" s="57">
        <v>0</v>
      </c>
      <c r="J226" s="55">
        <v>0.04</v>
      </c>
      <c r="K226" s="58" t="s">
        <v>118</v>
      </c>
    </row>
    <row r="227" spans="1:11">
      <c r="A227" s="59">
        <v>45670</v>
      </c>
      <c r="B227" s="49" t="s">
        <v>23</v>
      </c>
      <c r="C227" s="50">
        <v>80</v>
      </c>
      <c r="D227" s="49" t="s">
        <v>3</v>
      </c>
      <c r="E227" s="49" t="s">
        <v>0</v>
      </c>
      <c r="F227" s="49">
        <v>70</v>
      </c>
      <c r="G227" s="49">
        <v>20</v>
      </c>
      <c r="H227" s="49">
        <v>3</v>
      </c>
      <c r="I227" s="51">
        <v>0</v>
      </c>
      <c r="J227" s="49">
        <v>1.91</v>
      </c>
      <c r="K227" s="52"/>
    </row>
    <row r="228" spans="1:11">
      <c r="A228" s="59">
        <v>45670</v>
      </c>
      <c r="B228" s="49" t="s">
        <v>23</v>
      </c>
      <c r="C228" s="50">
        <v>80</v>
      </c>
      <c r="D228" s="49" t="s">
        <v>3</v>
      </c>
      <c r="E228" s="49" t="s">
        <v>1</v>
      </c>
      <c r="F228" s="49">
        <v>75</v>
      </c>
      <c r="G228" s="49">
        <v>25</v>
      </c>
      <c r="H228" s="49">
        <v>1</v>
      </c>
      <c r="I228" s="51">
        <v>0</v>
      </c>
      <c r="J228" s="49">
        <v>0.91</v>
      </c>
      <c r="K228" s="52" t="s">
        <v>155</v>
      </c>
    </row>
    <row r="229" spans="1:11">
      <c r="A229" s="54">
        <v>45670</v>
      </c>
      <c r="B229" s="55" t="s">
        <v>48</v>
      </c>
      <c r="C229" s="56">
        <v>65</v>
      </c>
      <c r="D229" s="55" t="s">
        <v>3</v>
      </c>
      <c r="E229" s="55" t="s">
        <v>0</v>
      </c>
      <c r="F229" s="55">
        <v>70</v>
      </c>
      <c r="G229" s="55">
        <v>14</v>
      </c>
      <c r="H229" s="55">
        <v>2</v>
      </c>
      <c r="I229" s="57">
        <v>0</v>
      </c>
      <c r="J229" s="55">
        <v>1.1000000000000001</v>
      </c>
      <c r="K229" s="58"/>
    </row>
    <row r="230" spans="1:11">
      <c r="A230" s="54">
        <v>45670</v>
      </c>
      <c r="B230" s="55" t="s">
        <v>48</v>
      </c>
      <c r="C230" s="56">
        <v>65</v>
      </c>
      <c r="D230" s="55" t="s">
        <v>3</v>
      </c>
      <c r="E230" s="55" t="s">
        <v>1</v>
      </c>
      <c r="F230" s="55">
        <v>65</v>
      </c>
      <c r="G230" s="55">
        <v>12</v>
      </c>
      <c r="H230" s="55">
        <v>2</v>
      </c>
      <c r="I230" s="57">
        <v>0</v>
      </c>
      <c r="J230" s="55">
        <v>0.71</v>
      </c>
      <c r="K230" s="58" t="s">
        <v>156</v>
      </c>
    </row>
    <row r="231" spans="1:11">
      <c r="A231" s="59">
        <v>45670</v>
      </c>
      <c r="B231" s="49" t="s">
        <v>7</v>
      </c>
      <c r="C231" s="50">
        <v>85</v>
      </c>
      <c r="D231" s="49" t="s">
        <v>3</v>
      </c>
      <c r="E231" s="49" t="s">
        <v>0</v>
      </c>
      <c r="F231" s="49">
        <v>70</v>
      </c>
      <c r="G231" s="49">
        <v>12</v>
      </c>
      <c r="H231" s="49">
        <v>1</v>
      </c>
      <c r="I231" s="51">
        <v>0</v>
      </c>
      <c r="J231" s="49">
        <v>0.47</v>
      </c>
      <c r="K231" s="52"/>
    </row>
    <row r="232" spans="1:11">
      <c r="A232" s="59">
        <v>45670</v>
      </c>
      <c r="B232" s="49" t="s">
        <v>7</v>
      </c>
      <c r="C232" s="50">
        <v>85</v>
      </c>
      <c r="D232" s="49" t="s">
        <v>3</v>
      </c>
      <c r="E232" s="49" t="s">
        <v>1</v>
      </c>
      <c r="F232" s="49">
        <v>70</v>
      </c>
      <c r="G232" s="49">
        <v>12</v>
      </c>
      <c r="H232" s="49">
        <v>1</v>
      </c>
      <c r="I232" s="51">
        <v>0</v>
      </c>
      <c r="J232" s="49">
        <v>0.41</v>
      </c>
      <c r="K232" s="52" t="s">
        <v>157</v>
      </c>
    </row>
    <row r="233" spans="1:11">
      <c r="A233" s="54">
        <v>45670</v>
      </c>
      <c r="B233" s="55" t="s">
        <v>51</v>
      </c>
      <c r="C233" s="56">
        <v>70</v>
      </c>
      <c r="D233" s="55" t="s">
        <v>3</v>
      </c>
      <c r="E233" s="55" t="s">
        <v>0</v>
      </c>
      <c r="F233" s="55">
        <v>100</v>
      </c>
      <c r="G233" s="55">
        <v>2</v>
      </c>
      <c r="H233" s="55">
        <v>1</v>
      </c>
      <c r="I233" s="57">
        <v>0</v>
      </c>
      <c r="J233" s="55">
        <v>0.09</v>
      </c>
      <c r="K233" s="58"/>
    </row>
    <row r="234" spans="1:11">
      <c r="A234" s="54">
        <v>45670</v>
      </c>
      <c r="B234" s="55" t="s">
        <v>51</v>
      </c>
      <c r="C234" s="56">
        <v>70</v>
      </c>
      <c r="D234" s="55" t="s">
        <v>3</v>
      </c>
      <c r="E234" s="55" t="s">
        <v>1</v>
      </c>
      <c r="F234" s="55">
        <v>100</v>
      </c>
      <c r="G234" s="55">
        <v>3</v>
      </c>
      <c r="H234" s="55">
        <v>1</v>
      </c>
      <c r="I234" s="57">
        <v>0</v>
      </c>
      <c r="J234" s="55">
        <v>0.14000000000000001</v>
      </c>
      <c r="K234" s="58" t="s">
        <v>158</v>
      </c>
    </row>
    <row r="235" spans="1:11">
      <c r="A235" s="59">
        <v>45670</v>
      </c>
      <c r="B235" s="49" t="s">
        <v>7</v>
      </c>
      <c r="C235" s="50">
        <v>85</v>
      </c>
      <c r="D235" s="49" t="s">
        <v>3</v>
      </c>
      <c r="E235" s="49" t="s">
        <v>0</v>
      </c>
      <c r="F235" s="49">
        <v>70</v>
      </c>
      <c r="G235" s="49">
        <v>12</v>
      </c>
      <c r="H235" s="49">
        <v>2</v>
      </c>
      <c r="I235" s="51">
        <v>0</v>
      </c>
      <c r="J235" s="49">
        <v>0.94</v>
      </c>
      <c r="K235" s="52"/>
    </row>
    <row r="236" spans="1:11">
      <c r="A236" s="59">
        <v>45670</v>
      </c>
      <c r="B236" s="49" t="s">
        <v>7</v>
      </c>
      <c r="C236" s="50">
        <v>85</v>
      </c>
      <c r="D236" s="49" t="s">
        <v>3</v>
      </c>
      <c r="E236" s="49" t="s">
        <v>1</v>
      </c>
      <c r="F236" s="49">
        <v>70</v>
      </c>
      <c r="G236" s="49">
        <v>15</v>
      </c>
      <c r="H236" s="49">
        <v>1</v>
      </c>
      <c r="I236" s="51">
        <v>0</v>
      </c>
      <c r="J236" s="49">
        <v>0.52</v>
      </c>
      <c r="K236" s="52" t="s">
        <v>159</v>
      </c>
    </row>
    <row r="237" spans="1:11">
      <c r="A237" s="54">
        <v>45670</v>
      </c>
      <c r="B237" s="55" t="s">
        <v>53</v>
      </c>
      <c r="C237" s="56">
        <v>85</v>
      </c>
      <c r="D237" s="55" t="s">
        <v>3</v>
      </c>
      <c r="E237" s="55" t="s">
        <v>0</v>
      </c>
      <c r="F237" s="55">
        <v>75</v>
      </c>
      <c r="G237" s="55">
        <v>35</v>
      </c>
      <c r="H237" s="55">
        <v>1</v>
      </c>
      <c r="I237" s="57">
        <v>0</v>
      </c>
      <c r="J237" s="55">
        <v>0.87</v>
      </c>
      <c r="K237" s="58"/>
    </row>
    <row r="238" spans="1:11">
      <c r="A238" s="54">
        <v>45670</v>
      </c>
      <c r="B238" s="55" t="s">
        <v>53</v>
      </c>
      <c r="C238" s="56">
        <v>85</v>
      </c>
      <c r="D238" s="55" t="s">
        <v>3</v>
      </c>
      <c r="E238" s="55" t="s">
        <v>1</v>
      </c>
      <c r="F238" s="55">
        <v>80</v>
      </c>
      <c r="G238" s="55">
        <v>45</v>
      </c>
      <c r="H238" s="55">
        <v>1</v>
      </c>
      <c r="I238" s="57">
        <v>0</v>
      </c>
      <c r="J238" s="55">
        <v>1.4</v>
      </c>
      <c r="K238" s="58" t="s">
        <v>160</v>
      </c>
    </row>
    <row r="239" spans="1:11">
      <c r="A239" s="59">
        <v>45670</v>
      </c>
      <c r="B239" s="49" t="s">
        <v>31</v>
      </c>
      <c r="C239" s="50">
        <v>85</v>
      </c>
      <c r="D239" s="49" t="s">
        <v>3</v>
      </c>
      <c r="E239" s="49" t="s">
        <v>0</v>
      </c>
      <c r="F239" s="49">
        <v>78</v>
      </c>
      <c r="G239" s="49">
        <v>52</v>
      </c>
      <c r="H239" s="49">
        <v>1</v>
      </c>
      <c r="I239" s="51">
        <v>0</v>
      </c>
      <c r="J239" s="49">
        <v>1.4</v>
      </c>
      <c r="K239" s="52"/>
    </row>
    <row r="240" spans="1:11">
      <c r="A240" s="59">
        <v>45670</v>
      </c>
      <c r="B240" s="49" t="s">
        <v>31</v>
      </c>
      <c r="C240" s="50">
        <v>85</v>
      </c>
      <c r="D240" s="49" t="s">
        <v>3</v>
      </c>
      <c r="E240" s="49" t="s">
        <v>1</v>
      </c>
      <c r="F240" s="49">
        <v>78</v>
      </c>
      <c r="G240" s="49">
        <v>62</v>
      </c>
      <c r="H240" s="49">
        <v>2</v>
      </c>
      <c r="I240" s="51">
        <v>0</v>
      </c>
      <c r="J240" s="49">
        <v>3.66</v>
      </c>
      <c r="K240" s="52" t="s">
        <v>161</v>
      </c>
    </row>
    <row r="241" spans="1:11">
      <c r="A241" s="59">
        <v>45670</v>
      </c>
      <c r="B241" s="49" t="s">
        <v>30</v>
      </c>
      <c r="C241" s="50">
        <v>60</v>
      </c>
      <c r="D241" s="49" t="s">
        <v>3</v>
      </c>
      <c r="E241" s="49" t="s">
        <v>0</v>
      </c>
      <c r="F241" s="49">
        <v>50</v>
      </c>
      <c r="G241" s="49">
        <v>4</v>
      </c>
      <c r="H241" s="49">
        <v>1</v>
      </c>
      <c r="I241" s="51">
        <v>0</v>
      </c>
      <c r="J241" s="49">
        <v>7.0000000000000007E-2</v>
      </c>
      <c r="K241" s="52"/>
    </row>
    <row r="242" spans="1:11">
      <c r="A242" s="59">
        <v>45670</v>
      </c>
      <c r="B242" s="49" t="s">
        <v>30</v>
      </c>
      <c r="C242" s="50">
        <v>60</v>
      </c>
      <c r="D242" s="49" t="s">
        <v>3</v>
      </c>
      <c r="E242" s="49" t="s">
        <v>1</v>
      </c>
      <c r="F242" s="49">
        <v>50</v>
      </c>
      <c r="G242" s="49">
        <v>4</v>
      </c>
      <c r="H242" s="49">
        <v>2</v>
      </c>
      <c r="I242" s="51">
        <v>0</v>
      </c>
      <c r="J242" s="49">
        <v>0.14000000000000001</v>
      </c>
      <c r="K242" s="52" t="s">
        <v>73</v>
      </c>
    </row>
    <row r="243" spans="1:11">
      <c r="A243" s="54">
        <v>45670</v>
      </c>
      <c r="B243" s="55" t="s">
        <v>51</v>
      </c>
      <c r="C243" s="56">
        <v>60</v>
      </c>
      <c r="D243" s="55" t="s">
        <v>3</v>
      </c>
      <c r="E243" s="55" t="s">
        <v>0</v>
      </c>
      <c r="F243" s="55">
        <v>100</v>
      </c>
      <c r="G243" s="55">
        <v>2</v>
      </c>
      <c r="H243" s="55">
        <v>1</v>
      </c>
      <c r="I243" s="57">
        <v>0</v>
      </c>
      <c r="J243" s="55">
        <v>0.09</v>
      </c>
      <c r="K243" s="58"/>
    </row>
    <row r="244" spans="1:11">
      <c r="A244" s="54">
        <v>45670</v>
      </c>
      <c r="B244" s="55" t="s">
        <v>51</v>
      </c>
      <c r="C244" s="56">
        <v>60</v>
      </c>
      <c r="D244" s="55" t="s">
        <v>3</v>
      </c>
      <c r="E244" s="55" t="s">
        <v>1</v>
      </c>
      <c r="F244" s="55">
        <v>105</v>
      </c>
      <c r="G244" s="55">
        <v>3</v>
      </c>
      <c r="H244" s="55">
        <v>1</v>
      </c>
      <c r="I244" s="57">
        <v>0</v>
      </c>
      <c r="J244" s="55">
        <v>0.16</v>
      </c>
      <c r="K244" s="58" t="s">
        <v>131</v>
      </c>
    </row>
    <row r="245" spans="1:11">
      <c r="A245" s="59">
        <v>45670</v>
      </c>
      <c r="B245" s="49" t="s">
        <v>51</v>
      </c>
      <c r="C245" s="50">
        <v>60</v>
      </c>
      <c r="D245" s="49" t="s">
        <v>3</v>
      </c>
      <c r="E245" s="49" t="s">
        <v>0</v>
      </c>
      <c r="F245" s="49">
        <v>100</v>
      </c>
      <c r="G245" s="49">
        <v>2</v>
      </c>
      <c r="H245" s="49">
        <v>1</v>
      </c>
      <c r="I245" s="51">
        <v>0</v>
      </c>
      <c r="J245" s="49">
        <v>0.09</v>
      </c>
      <c r="K245" s="52"/>
    </row>
    <row r="246" spans="1:11">
      <c r="A246" s="59">
        <v>45670</v>
      </c>
      <c r="B246" s="49" t="s">
        <v>51</v>
      </c>
      <c r="C246" s="50">
        <v>60</v>
      </c>
      <c r="D246" s="49" t="s">
        <v>3</v>
      </c>
      <c r="E246" s="49" t="s">
        <v>1</v>
      </c>
      <c r="F246" s="49">
        <v>105</v>
      </c>
      <c r="G246" s="49">
        <v>3</v>
      </c>
      <c r="H246" s="49">
        <v>1</v>
      </c>
      <c r="I246" s="51">
        <v>0</v>
      </c>
      <c r="J246" s="49">
        <v>0.16</v>
      </c>
      <c r="K246" s="52" t="s">
        <v>131</v>
      </c>
    </row>
    <row r="247" spans="1:11">
      <c r="A247" s="54">
        <v>45670</v>
      </c>
      <c r="B247" s="55" t="s">
        <v>29</v>
      </c>
      <c r="C247" s="56">
        <v>60</v>
      </c>
      <c r="D247" s="55" t="s">
        <v>3</v>
      </c>
      <c r="E247" s="55" t="s">
        <v>0</v>
      </c>
      <c r="F247" s="55">
        <v>60</v>
      </c>
      <c r="G247" s="55">
        <v>3</v>
      </c>
      <c r="H247" s="55">
        <v>2</v>
      </c>
      <c r="I247" s="57">
        <v>0</v>
      </c>
      <c r="J247" s="55">
        <v>0.16</v>
      </c>
      <c r="K247" s="58"/>
    </row>
    <row r="248" spans="1:11">
      <c r="A248" s="54">
        <v>45670</v>
      </c>
      <c r="B248" s="55" t="s">
        <v>29</v>
      </c>
      <c r="C248" s="56">
        <v>60</v>
      </c>
      <c r="D248" s="55" t="s">
        <v>3</v>
      </c>
      <c r="E248" s="55" t="s">
        <v>1</v>
      </c>
      <c r="F248" s="55">
        <v>50</v>
      </c>
      <c r="G248" s="55">
        <v>4</v>
      </c>
      <c r="H248" s="55">
        <v>2</v>
      </c>
      <c r="I248" s="57">
        <v>0</v>
      </c>
      <c r="J248" s="55">
        <v>0.14000000000000001</v>
      </c>
      <c r="K248" s="58" t="s">
        <v>152</v>
      </c>
    </row>
    <row r="249" spans="1:11">
      <c r="A249" s="59">
        <v>45670</v>
      </c>
      <c r="B249" s="49" t="s">
        <v>54</v>
      </c>
      <c r="C249" s="50">
        <v>60</v>
      </c>
      <c r="D249" s="49" t="s">
        <v>3</v>
      </c>
      <c r="E249" s="49" t="s">
        <v>0</v>
      </c>
      <c r="F249" s="49">
        <v>60</v>
      </c>
      <c r="G249" s="49">
        <v>25</v>
      </c>
      <c r="H249" s="49">
        <v>3</v>
      </c>
      <c r="I249" s="51">
        <v>0</v>
      </c>
      <c r="J249" s="49">
        <v>1.2</v>
      </c>
      <c r="K249" s="52"/>
    </row>
    <row r="250" spans="1:11">
      <c r="A250" s="59">
        <v>45670</v>
      </c>
      <c r="B250" s="49" t="s">
        <v>54</v>
      </c>
      <c r="C250" s="50">
        <v>60</v>
      </c>
      <c r="D250" s="49" t="s">
        <v>3</v>
      </c>
      <c r="E250" s="49" t="s">
        <v>1</v>
      </c>
      <c r="F250" s="49">
        <v>70</v>
      </c>
      <c r="G250" s="49">
        <v>25</v>
      </c>
      <c r="H250" s="49">
        <v>3</v>
      </c>
      <c r="I250" s="51">
        <v>0</v>
      </c>
      <c r="J250" s="49">
        <v>1.79</v>
      </c>
      <c r="K250" s="52" t="s">
        <v>163</v>
      </c>
    </row>
    <row r="251" spans="1:11">
      <c r="A251" s="59">
        <v>45670</v>
      </c>
      <c r="B251" s="49" t="s">
        <v>14</v>
      </c>
      <c r="C251" s="50">
        <v>72</v>
      </c>
      <c r="D251" s="49" t="s">
        <v>3</v>
      </c>
      <c r="E251" s="49" t="s">
        <v>0</v>
      </c>
      <c r="F251" s="49">
        <v>50</v>
      </c>
      <c r="G251" s="49">
        <v>1.8</v>
      </c>
      <c r="H251" s="49">
        <v>1</v>
      </c>
      <c r="I251" s="51">
        <v>0</v>
      </c>
      <c r="J251" s="49">
        <v>0.03</v>
      </c>
      <c r="K251" s="52"/>
    </row>
    <row r="252" spans="1:11">
      <c r="A252" s="59">
        <v>45670</v>
      </c>
      <c r="B252" s="49" t="s">
        <v>14</v>
      </c>
      <c r="C252" s="50">
        <v>72</v>
      </c>
      <c r="D252" s="49" t="s">
        <v>3</v>
      </c>
      <c r="E252" s="49" t="s">
        <v>1</v>
      </c>
      <c r="F252" s="49">
        <v>50</v>
      </c>
      <c r="G252" s="49">
        <v>1.8</v>
      </c>
      <c r="H252" s="49">
        <v>1</v>
      </c>
      <c r="I252" s="51">
        <v>0</v>
      </c>
      <c r="J252" s="49">
        <v>0.03</v>
      </c>
      <c r="K252" s="52" t="s">
        <v>164</v>
      </c>
    </row>
    <row r="253" spans="1:11">
      <c r="A253" s="54">
        <v>45670</v>
      </c>
      <c r="B253" s="55" t="s">
        <v>43</v>
      </c>
      <c r="C253" s="56">
        <v>72</v>
      </c>
      <c r="D253" s="55" t="s">
        <v>3</v>
      </c>
      <c r="E253" s="55" t="s">
        <v>0</v>
      </c>
      <c r="F253" s="55">
        <v>80</v>
      </c>
      <c r="G253" s="55">
        <v>20</v>
      </c>
      <c r="H253" s="55">
        <v>1</v>
      </c>
      <c r="I253" s="57">
        <v>0</v>
      </c>
      <c r="J253" s="55">
        <v>1.5</v>
      </c>
      <c r="K253" s="58" t="s">
        <v>165</v>
      </c>
    </row>
    <row r="254" spans="1:11">
      <c r="A254" s="59">
        <v>45670</v>
      </c>
      <c r="B254" s="49" t="s">
        <v>51</v>
      </c>
      <c r="C254" s="50">
        <v>72</v>
      </c>
      <c r="D254" s="49" t="s">
        <v>3</v>
      </c>
      <c r="E254" s="49" t="s">
        <v>0</v>
      </c>
      <c r="F254" s="49">
        <v>90</v>
      </c>
      <c r="G254" s="49">
        <v>5</v>
      </c>
      <c r="H254" s="49">
        <v>1</v>
      </c>
      <c r="I254" s="51">
        <v>0</v>
      </c>
      <c r="J254" s="49">
        <v>0.18</v>
      </c>
      <c r="K254" s="52"/>
    </row>
    <row r="255" spans="1:11">
      <c r="A255" s="59">
        <v>45670</v>
      </c>
      <c r="B255" s="49" t="s">
        <v>51</v>
      </c>
      <c r="C255" s="50">
        <v>72</v>
      </c>
      <c r="D255" s="49" t="s">
        <v>3</v>
      </c>
      <c r="E255" s="49" t="s">
        <v>1</v>
      </c>
      <c r="F255" s="49">
        <v>110</v>
      </c>
      <c r="G255" s="49">
        <v>10</v>
      </c>
      <c r="H255" s="49">
        <v>1</v>
      </c>
      <c r="I255" s="51">
        <v>0</v>
      </c>
      <c r="J255" s="49">
        <v>0.57999999999999996</v>
      </c>
      <c r="K255" s="52" t="s">
        <v>113</v>
      </c>
    </row>
    <row r="256" spans="1:11">
      <c r="A256" s="54">
        <v>45670</v>
      </c>
      <c r="B256" s="55" t="s">
        <v>51</v>
      </c>
      <c r="C256" s="56">
        <v>72</v>
      </c>
      <c r="D256" s="55" t="s">
        <v>3</v>
      </c>
      <c r="E256" s="55" t="s">
        <v>0</v>
      </c>
      <c r="F256" s="55">
        <v>90</v>
      </c>
      <c r="G256" s="55">
        <v>5</v>
      </c>
      <c r="H256" s="55">
        <v>1</v>
      </c>
      <c r="I256" s="57">
        <v>0</v>
      </c>
      <c r="J256" s="55">
        <v>0.18</v>
      </c>
      <c r="K256" s="58"/>
    </row>
    <row r="257" spans="1:11">
      <c r="A257" s="54">
        <v>45670</v>
      </c>
      <c r="B257" s="55" t="s">
        <v>51</v>
      </c>
      <c r="C257" s="56">
        <v>72</v>
      </c>
      <c r="D257" s="55" t="s">
        <v>3</v>
      </c>
      <c r="E257" s="55" t="s">
        <v>1</v>
      </c>
      <c r="F257" s="55">
        <v>110</v>
      </c>
      <c r="G257" s="55">
        <v>10</v>
      </c>
      <c r="H257" s="55">
        <v>1</v>
      </c>
      <c r="I257" s="57">
        <v>0</v>
      </c>
      <c r="J257" s="55">
        <v>0.57999999999999996</v>
      </c>
      <c r="K257" s="58" t="s">
        <v>113</v>
      </c>
    </row>
    <row r="258" spans="1:11">
      <c r="A258" s="59">
        <v>45670</v>
      </c>
      <c r="B258" s="49" t="s">
        <v>51</v>
      </c>
      <c r="C258" s="50">
        <v>70</v>
      </c>
      <c r="D258" s="49" t="s">
        <v>3</v>
      </c>
      <c r="E258" s="49" t="s">
        <v>0</v>
      </c>
      <c r="F258" s="49">
        <v>85</v>
      </c>
      <c r="G258" s="49">
        <v>4</v>
      </c>
      <c r="H258" s="49">
        <v>1</v>
      </c>
      <c r="I258" s="51">
        <v>0</v>
      </c>
      <c r="J258" s="49">
        <v>0.13</v>
      </c>
      <c r="K258" s="52"/>
    </row>
    <row r="259" spans="1:11">
      <c r="A259" s="59">
        <v>45670</v>
      </c>
      <c r="B259" s="49" t="s">
        <v>51</v>
      </c>
      <c r="C259" s="50">
        <v>70</v>
      </c>
      <c r="D259" s="49" t="s">
        <v>3</v>
      </c>
      <c r="E259" s="49" t="s">
        <v>1</v>
      </c>
      <c r="F259" s="49">
        <v>80</v>
      </c>
      <c r="G259" s="49">
        <v>8</v>
      </c>
      <c r="H259" s="49">
        <v>1</v>
      </c>
      <c r="I259" s="51">
        <v>0</v>
      </c>
      <c r="J259" s="49">
        <v>0.25</v>
      </c>
      <c r="K259" s="52" t="s">
        <v>124</v>
      </c>
    </row>
    <row r="260" spans="1:11">
      <c r="A260" s="54">
        <v>45670</v>
      </c>
      <c r="B260" s="55" t="s">
        <v>43</v>
      </c>
      <c r="C260" s="56">
        <v>85</v>
      </c>
      <c r="D260" s="55" t="s">
        <v>3</v>
      </c>
      <c r="E260" s="55" t="s">
        <v>0</v>
      </c>
      <c r="F260" s="55">
        <v>75</v>
      </c>
      <c r="G260" s="55">
        <v>10</v>
      </c>
      <c r="H260" s="55">
        <v>1</v>
      </c>
      <c r="I260" s="57">
        <v>0</v>
      </c>
      <c r="J260" s="55">
        <v>0.66</v>
      </c>
      <c r="K260" s="58"/>
    </row>
    <row r="261" spans="1:11">
      <c r="A261" s="54">
        <v>45670</v>
      </c>
      <c r="B261" s="55" t="s">
        <v>43</v>
      </c>
      <c r="C261" s="56">
        <v>85</v>
      </c>
      <c r="D261" s="55" t="s">
        <v>3</v>
      </c>
      <c r="E261" s="55" t="s">
        <v>1</v>
      </c>
      <c r="F261" s="55">
        <v>80</v>
      </c>
      <c r="G261" s="55">
        <v>12</v>
      </c>
      <c r="H261" s="55">
        <v>1</v>
      </c>
      <c r="I261" s="57">
        <v>0</v>
      </c>
      <c r="J261" s="55">
        <v>1.04</v>
      </c>
      <c r="K261" s="58" t="s">
        <v>166</v>
      </c>
    </row>
    <row r="262" spans="1:11">
      <c r="A262" s="59">
        <v>45670</v>
      </c>
      <c r="B262" s="49" t="s">
        <v>43</v>
      </c>
      <c r="C262" s="50">
        <v>85</v>
      </c>
      <c r="D262" s="49" t="s">
        <v>3</v>
      </c>
      <c r="E262" s="49" t="s">
        <v>0</v>
      </c>
      <c r="F262" s="49">
        <v>75</v>
      </c>
      <c r="G262" s="49">
        <v>10</v>
      </c>
      <c r="H262" s="49">
        <v>1</v>
      </c>
      <c r="I262" s="51">
        <v>0</v>
      </c>
      <c r="J262" s="49">
        <v>0.66</v>
      </c>
      <c r="K262" s="52"/>
    </row>
    <row r="263" spans="1:11">
      <c r="A263" s="59">
        <v>45670</v>
      </c>
      <c r="B263" s="49" t="s">
        <v>43</v>
      </c>
      <c r="C263" s="50">
        <v>85</v>
      </c>
      <c r="D263" s="49" t="s">
        <v>3</v>
      </c>
      <c r="E263" s="49" t="s">
        <v>1</v>
      </c>
      <c r="F263" s="49">
        <v>80</v>
      </c>
      <c r="G263" s="49">
        <v>12</v>
      </c>
      <c r="H263" s="49">
        <v>2</v>
      </c>
      <c r="I263" s="51">
        <v>0</v>
      </c>
      <c r="J263" s="49">
        <v>2.09</v>
      </c>
      <c r="K263" s="52" t="s">
        <v>167</v>
      </c>
    </row>
    <row r="264" spans="1:11">
      <c r="A264" s="54">
        <v>45670</v>
      </c>
      <c r="B264" s="55" t="s">
        <v>43</v>
      </c>
      <c r="C264" s="56">
        <v>85</v>
      </c>
      <c r="D264" s="55" t="s">
        <v>3</v>
      </c>
      <c r="E264" s="55" t="s">
        <v>0</v>
      </c>
      <c r="F264" s="55">
        <v>75</v>
      </c>
      <c r="G264" s="55">
        <v>10</v>
      </c>
      <c r="H264" s="55">
        <v>1</v>
      </c>
      <c r="I264" s="57">
        <v>0</v>
      </c>
      <c r="J264" s="55">
        <v>0.66</v>
      </c>
      <c r="K264" s="58"/>
    </row>
    <row r="265" spans="1:11">
      <c r="A265" s="54">
        <v>45670</v>
      </c>
      <c r="B265" s="55" t="s">
        <v>43</v>
      </c>
      <c r="C265" s="56">
        <v>85</v>
      </c>
      <c r="D265" s="55" t="s">
        <v>3</v>
      </c>
      <c r="E265" s="55" t="s">
        <v>1</v>
      </c>
      <c r="F265" s="55">
        <v>80</v>
      </c>
      <c r="G265" s="55">
        <v>12</v>
      </c>
      <c r="H265" s="55">
        <v>2</v>
      </c>
      <c r="I265" s="57">
        <v>0</v>
      </c>
      <c r="J265" s="55">
        <v>2.09</v>
      </c>
      <c r="K265" s="58" t="s">
        <v>73</v>
      </c>
    </row>
    <row r="266" spans="1:11">
      <c r="A266" s="59">
        <v>45670</v>
      </c>
      <c r="B266" s="49" t="s">
        <v>39</v>
      </c>
      <c r="C266" s="50">
        <v>74</v>
      </c>
      <c r="D266" s="49" t="s">
        <v>3</v>
      </c>
      <c r="E266" s="49" t="s">
        <v>0</v>
      </c>
      <c r="F266" s="49">
        <v>80</v>
      </c>
      <c r="G266" s="49">
        <v>3.5</v>
      </c>
      <c r="H266" s="49">
        <v>1</v>
      </c>
      <c r="I266" s="51">
        <v>0</v>
      </c>
      <c r="J266" s="49">
        <v>0.14000000000000001</v>
      </c>
      <c r="K266" s="52" t="s">
        <v>162</v>
      </c>
    </row>
    <row r="267" spans="1:11">
      <c r="A267" s="54">
        <v>45670</v>
      </c>
      <c r="B267" s="55" t="s">
        <v>51</v>
      </c>
      <c r="C267" s="56">
        <v>74</v>
      </c>
      <c r="D267" s="55" t="s">
        <v>3</v>
      </c>
      <c r="E267" s="55" t="s">
        <v>0</v>
      </c>
      <c r="F267" s="55">
        <v>80</v>
      </c>
      <c r="G267" s="55">
        <v>3.5</v>
      </c>
      <c r="H267" s="55">
        <v>1</v>
      </c>
      <c r="I267" s="57">
        <v>0</v>
      </c>
      <c r="J267" s="55">
        <v>0.1</v>
      </c>
      <c r="K267" s="58" t="s">
        <v>147</v>
      </c>
    </row>
    <row r="268" spans="1:11">
      <c r="A268" s="59">
        <v>45670</v>
      </c>
      <c r="B268" s="49" t="s">
        <v>23</v>
      </c>
      <c r="C268" s="50">
        <v>70</v>
      </c>
      <c r="D268" s="49" t="s">
        <v>3</v>
      </c>
      <c r="E268" s="49" t="s">
        <v>0</v>
      </c>
      <c r="F268" s="49">
        <v>70</v>
      </c>
      <c r="G268" s="49">
        <v>12</v>
      </c>
      <c r="H268" s="49">
        <v>2</v>
      </c>
      <c r="I268" s="51">
        <v>0</v>
      </c>
      <c r="J268" s="49">
        <v>0.76</v>
      </c>
      <c r="K268" s="52"/>
    </row>
    <row r="269" spans="1:11">
      <c r="A269" s="59">
        <v>45670</v>
      </c>
      <c r="B269" s="49" t="s">
        <v>23</v>
      </c>
      <c r="C269" s="50">
        <v>70</v>
      </c>
      <c r="D269" s="49" t="s">
        <v>3</v>
      </c>
      <c r="E269" s="49" t="s">
        <v>1</v>
      </c>
      <c r="F269" s="49">
        <v>70</v>
      </c>
      <c r="G269" s="49">
        <v>12</v>
      </c>
      <c r="H269" s="49">
        <v>2</v>
      </c>
      <c r="I269" s="51">
        <v>0</v>
      </c>
      <c r="J269" s="49">
        <v>0.76</v>
      </c>
      <c r="K269" s="52" t="s">
        <v>168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2025-06-20T15:51:01Z</dcterms:modified>
</cp:coreProperties>
</file>